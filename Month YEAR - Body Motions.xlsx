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6E1B46C7-F72B-0746-BB46-949AD3C2B297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10" r:id="rId1"/>
    <sheet name="REPORT" sheetId="9" r:id="rId2"/>
    <sheet name="RUH - Al Malaz" sheetId="8" r:id="rId3"/>
    <sheet name="RUH - Al Sahafa" sheetId="7" r:id="rId4"/>
    <sheet name="RUH - Al Aarid" sheetId="5" r:id="rId5"/>
    <sheet name="RUH - Al Fayha" sheetId="6" r:id="rId6"/>
    <sheet name="RUH - Al Uraija" sheetId="13" r:id="rId7"/>
    <sheet name="RUH - Badr" sheetId="14" r:id="rId8"/>
    <sheet name="RUH - Al Badia" sheetId="15" r:id="rId9"/>
    <sheet name="JED - Al Basateen" sheetId="3" r:id="rId10"/>
    <sheet name="JED - Al Faisaliyah" sheetId="1" r:id="rId11"/>
    <sheet name="JED - Al Naeem" sheetId="4" r:id="rId12"/>
    <sheet name="DMM - Al Faisaliyah" sheetId="2" r:id="rId13"/>
    <sheet name="DMM - Al Jalawiah" sheetId="18" r:id="rId14"/>
    <sheet name="ALQ - Buraidah" sheetId="16" r:id="rId15"/>
    <sheet name="ALQ - Unaizah" sheetId="17" r:id="rId16"/>
    <sheet name="Al Ahsaa" sheetId="19" r:id="rId17"/>
    <sheet name="AlUla" sheetId="21" r:id="rId18"/>
    <sheet name="Tabuk" sheetId="20" r:id="rId19"/>
  </sheets>
  <definedNames>
    <definedName name="_xlnm._FilterDatabase" localSheetId="1" hidden="1">REPORT!$B$1:$B$322</definedName>
    <definedName name="_xlnm.Print_Area" localSheetId="1">REPORT!$A$1:$D$176</definedName>
    <definedName name="_xlnm.Print_Area" localSheetId="0">'REPORT 2'!$A$1:$G$14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16" i="9" a="1"/>
  <c r="D73" i="9" a="1"/>
  <c r="C94" i="9"/>
  <c r="D110" i="9" a="1"/>
  <c r="D125" i="9" a="1"/>
  <c r="C84" i="9"/>
  <c r="D133" i="9" a="1"/>
  <c r="D113" i="9" a="1"/>
  <c r="C121" i="9"/>
  <c r="D88" i="9" a="1"/>
  <c r="D9" i="9" a="1"/>
  <c r="C103" i="9"/>
  <c r="D11" i="9" a="1"/>
  <c r="C66" i="9"/>
  <c r="D59" i="9" a="1"/>
  <c r="C55" i="9"/>
  <c r="D10" i="9" a="1"/>
  <c r="C112" i="9"/>
  <c r="C16" i="9"/>
  <c r="C76" i="9"/>
  <c r="D126" i="9" a="1"/>
  <c r="C118" i="9"/>
  <c r="C95" i="9"/>
  <c r="D20" i="9" a="1"/>
  <c r="C79" i="9"/>
  <c r="D70" i="9" a="1"/>
  <c r="D71" i="9" a="1"/>
  <c r="C106" i="9"/>
  <c r="D46" i="9" a="1"/>
  <c r="C50" i="9"/>
  <c r="D105" i="9" a="1"/>
  <c r="D97" i="9" a="1"/>
  <c r="D91" i="9" a="1"/>
  <c r="D127" i="9" a="1"/>
  <c r="D83" i="9" a="1"/>
  <c r="C100" i="9"/>
  <c r="D32" i="9" a="1"/>
  <c r="D65" i="9" a="1"/>
  <c r="C44" i="9"/>
  <c r="C126" i="9"/>
  <c r="C61" i="9"/>
  <c r="D28" i="9" a="1"/>
  <c r="D112" i="9" a="1"/>
  <c r="C38" i="9"/>
  <c r="C138" i="9"/>
  <c r="C104" i="9"/>
  <c r="D12" i="9" a="1"/>
  <c r="D101" i="9" a="1"/>
  <c r="C11" i="9"/>
  <c r="C43" i="9"/>
  <c r="D44" i="9" a="1"/>
  <c r="C117" i="9"/>
  <c r="C17" i="9"/>
  <c r="C65" i="9"/>
  <c r="C67" i="9"/>
  <c r="C128" i="9"/>
  <c r="D80" i="9" a="1"/>
  <c r="D122" i="9" a="1"/>
  <c r="D102" i="9" a="1"/>
  <c r="C48" i="9"/>
  <c r="D22" i="9" a="1"/>
  <c r="C32" i="9"/>
  <c r="D121" i="9" a="1"/>
  <c r="D29" i="9" a="1"/>
  <c r="D99" i="9" a="1"/>
  <c r="D24" i="9" a="1"/>
  <c r="C27" i="9"/>
  <c r="C36" i="9"/>
  <c r="D86" i="9" a="1"/>
  <c r="D109" i="9" a="1"/>
  <c r="D17" i="9" a="1"/>
  <c r="C123" i="9"/>
  <c r="D89" i="9" a="1"/>
  <c r="C77" i="9"/>
  <c r="D123" i="9" a="1"/>
  <c r="C90" i="9"/>
  <c r="D103" i="9" a="1"/>
  <c r="C14" i="9"/>
  <c r="D7" i="9" a="1"/>
  <c r="C73" i="9"/>
  <c r="C97" i="9"/>
  <c r="C12" i="9"/>
  <c r="C23" i="9"/>
  <c r="D61" i="9" a="1"/>
  <c r="C116" i="9"/>
  <c r="D56" i="9" a="1"/>
  <c r="C113" i="9"/>
  <c r="D135" i="9" a="1"/>
  <c r="D45" i="9" a="1"/>
  <c r="C88" i="9"/>
  <c r="D25" i="9" a="1"/>
  <c r="D95" i="9" a="1"/>
  <c r="D55" i="9" a="1"/>
  <c r="D13" i="9" a="1"/>
  <c r="C105" i="9"/>
  <c r="C119" i="9"/>
  <c r="C51" i="9"/>
  <c r="D26" i="9" a="1"/>
  <c r="C122" i="9"/>
  <c r="C69" i="9"/>
  <c r="D131" i="9" a="1"/>
  <c r="C58" i="9"/>
  <c r="D68" i="9" a="1"/>
  <c r="C107" i="9"/>
  <c r="C108" i="9"/>
  <c r="C49" i="9"/>
  <c r="D81" i="9" a="1"/>
  <c r="C71" i="9"/>
  <c r="D30" i="9" a="1"/>
  <c r="D98" i="9" a="1"/>
  <c r="D34" i="9" a="1"/>
  <c r="D54" i="9" a="1"/>
  <c r="D38" i="9" a="1"/>
  <c r="C22" i="9"/>
  <c r="D15" i="9" a="1"/>
  <c r="C39" i="9"/>
  <c r="C86" i="9"/>
  <c r="D62" i="9" a="1"/>
  <c r="C78" i="9"/>
  <c r="D78" i="9" a="1"/>
  <c r="C81" i="9"/>
  <c r="C59" i="9"/>
  <c r="C31" i="9"/>
  <c r="D107" i="9" a="1"/>
  <c r="D132" i="9" a="1"/>
  <c r="C120" i="9"/>
  <c r="C13" i="9"/>
  <c r="C28" i="9"/>
  <c r="C82" i="9"/>
  <c r="D50" i="9" a="1"/>
  <c r="C127" i="9"/>
  <c r="C24" i="9"/>
  <c r="D42" i="9" a="1"/>
  <c r="D39" i="9" a="1"/>
  <c r="C92" i="9"/>
  <c r="C87" i="9"/>
  <c r="D41" i="9" a="1"/>
  <c r="D35" i="9" a="1"/>
  <c r="C45" i="9"/>
  <c r="C99" i="9"/>
  <c r="D64" i="9" a="1"/>
  <c r="C124" i="9"/>
  <c r="C54" i="9"/>
  <c r="C93" i="9"/>
  <c r="D82" i="9" a="1"/>
  <c r="D37" i="9" a="1"/>
  <c r="C72" i="9"/>
  <c r="D104" i="9" a="1"/>
  <c r="C63" i="9"/>
  <c r="D53" i="9" a="1"/>
  <c r="C62" i="9"/>
  <c r="C132" i="9"/>
  <c r="D137" i="9" a="1"/>
  <c r="D72" i="9" a="1"/>
  <c r="D138" i="9" a="1"/>
  <c r="D85" i="9" a="1"/>
  <c r="D52" i="9" a="1"/>
  <c r="D67" i="9" a="1"/>
  <c r="C20" i="9"/>
  <c r="D87" i="9" a="1"/>
  <c r="D51" i="9" a="1"/>
  <c r="D8" i="9" a="1"/>
  <c r="C64" i="9"/>
  <c r="C37" i="9"/>
  <c r="C89" i="9"/>
  <c r="D63" i="9" a="1"/>
  <c r="C102" i="9"/>
  <c r="C115" i="9"/>
  <c r="C46" i="9"/>
  <c r="C7" i="9"/>
  <c r="D19" i="9" a="1"/>
  <c r="D43" i="9" a="1"/>
  <c r="D27" i="9" a="1"/>
  <c r="D119" i="9" a="1"/>
  <c r="D93" i="9" a="1"/>
  <c r="C40" i="9"/>
  <c r="C110" i="9"/>
  <c r="C68" i="9"/>
  <c r="D18" i="9" a="1"/>
  <c r="C60" i="9"/>
  <c r="D117" i="9" a="1"/>
  <c r="C29" i="9"/>
  <c r="D74" i="9" a="1"/>
  <c r="D106" i="9" a="1"/>
  <c r="C135" i="9"/>
  <c r="D49" i="9" a="1"/>
  <c r="D23" i="9" a="1"/>
  <c r="D115" i="9" a="1"/>
  <c r="C56" i="9"/>
  <c r="C15" i="9"/>
  <c r="C101" i="9"/>
  <c r="D134" i="9" a="1"/>
  <c r="D124" i="9" a="1"/>
  <c r="C91" i="9"/>
  <c r="C9" i="9"/>
  <c r="C83" i="9"/>
  <c r="D130" i="9" a="1"/>
  <c r="D116" i="9" a="1"/>
  <c r="C47" i="9"/>
  <c r="C96" i="9"/>
  <c r="D60" i="9" a="1"/>
  <c r="C85" i="9"/>
  <c r="C130" i="9"/>
  <c r="D94" i="9" a="1"/>
  <c r="D31" i="9" a="1"/>
  <c r="C80" i="9"/>
  <c r="C10" i="9"/>
  <c r="C131" i="9"/>
  <c r="D21" i="9" a="1"/>
  <c r="D33" i="9" a="1"/>
  <c r="D40" i="9" a="1"/>
  <c r="C129" i="9"/>
  <c r="C98" i="9"/>
  <c r="D90" i="9" a="1"/>
  <c r="D120" i="9" a="1"/>
  <c r="C52" i="9"/>
  <c r="C114" i="9"/>
  <c r="C74" i="9"/>
  <c r="D96" i="9" a="1"/>
  <c r="D48" i="9" a="1"/>
  <c r="D118" i="9" a="1"/>
  <c r="C42" i="9"/>
  <c r="D57" i="9" a="1"/>
  <c r="C57" i="9"/>
  <c r="C75" i="9"/>
  <c r="C137" i="9"/>
  <c r="D136" i="9" a="1"/>
  <c r="C26" i="9"/>
  <c r="D58" i="9" a="1"/>
  <c r="D108" i="9" a="1"/>
  <c r="C41" i="9"/>
  <c r="C70" i="9"/>
  <c r="C8" i="9"/>
  <c r="D84" i="9" a="1"/>
  <c r="D36" i="9" a="1"/>
  <c r="D76" i="9" a="1"/>
  <c r="D79" i="9" a="1"/>
  <c r="D66" i="9" a="1"/>
  <c r="C21" i="9"/>
  <c r="D77" i="9" a="1"/>
  <c r="D14" i="9" a="1"/>
  <c r="D114" i="9" a="1"/>
  <c r="C34" i="9"/>
  <c r="C111" i="9"/>
  <c r="D92" i="9" a="1"/>
  <c r="C134" i="9"/>
  <c r="C25" i="9"/>
  <c r="C53" i="9"/>
  <c r="C136" i="9"/>
  <c r="C109" i="9"/>
  <c r="C30" i="9"/>
  <c r="C35" i="9"/>
  <c r="C19" i="9"/>
  <c r="C133" i="9"/>
  <c r="D128" i="9" a="1"/>
  <c r="D129" i="9" a="1"/>
  <c r="C33" i="9"/>
  <c r="D75" i="9" a="1"/>
  <c r="C125" i="9"/>
  <c r="D111" i="9" a="1"/>
  <c r="D47" i="9" a="1"/>
  <c r="D69" i="9" a="1"/>
  <c r="C18" i="9"/>
  <c r="D100" i="9" a="1"/>
  <c r="D127" i="9" l="1"/>
  <c r="D99" i="9"/>
  <c r="D130" i="9"/>
  <c r="D118" i="9"/>
  <c r="D106" i="9"/>
  <c r="D50" i="9"/>
  <c r="D134" i="9"/>
  <c r="D126" i="9"/>
  <c r="D122" i="9"/>
  <c r="D114" i="9"/>
  <c r="D110" i="9"/>
  <c r="D102" i="9"/>
  <c r="D98" i="9"/>
  <c r="D94" i="9"/>
  <c r="D90" i="9"/>
  <c r="D86" i="9"/>
  <c r="D82" i="9"/>
  <c r="D78" i="9"/>
  <c r="D74" i="9"/>
  <c r="D70" i="9"/>
  <c r="D66" i="9"/>
  <c r="D62" i="9"/>
  <c r="D58" i="9"/>
  <c r="D54" i="9"/>
  <c r="D46" i="9"/>
  <c r="D42" i="9"/>
  <c r="D38" i="9"/>
  <c r="D34" i="9"/>
  <c r="D30" i="9"/>
  <c r="D26" i="9"/>
  <c r="D22" i="9"/>
  <c r="D18" i="9"/>
  <c r="D14" i="9"/>
  <c r="D10" i="9"/>
  <c r="D137" i="9"/>
  <c r="D117" i="9"/>
  <c r="D97" i="9"/>
  <c r="D73" i="9"/>
  <c r="D49" i="9"/>
  <c r="D25" i="9"/>
  <c r="D17" i="9"/>
  <c r="D9" i="9"/>
  <c r="D129" i="9"/>
  <c r="D109" i="9"/>
  <c r="D85" i="9"/>
  <c r="D61" i="9"/>
  <c r="D33" i="9"/>
  <c r="D13" i="9"/>
  <c r="D125" i="9"/>
  <c r="D113" i="9"/>
  <c r="D101" i="9"/>
  <c r="D89" i="9"/>
  <c r="D77" i="9"/>
  <c r="D65" i="9"/>
  <c r="D53" i="9"/>
  <c r="D41" i="9"/>
  <c r="D136" i="9"/>
  <c r="D128" i="9"/>
  <c r="D120" i="9"/>
  <c r="D112" i="9"/>
  <c r="D104" i="9"/>
  <c r="D96" i="9"/>
  <c r="D88" i="9"/>
  <c r="D80" i="9"/>
  <c r="D72" i="9"/>
  <c r="D64" i="9"/>
  <c r="D56" i="9"/>
  <c r="D48" i="9"/>
  <c r="D40" i="9"/>
  <c r="D32" i="9"/>
  <c r="D24" i="9"/>
  <c r="D16" i="9"/>
  <c r="D8" i="9"/>
  <c r="D133" i="9"/>
  <c r="D121" i="9"/>
  <c r="D105" i="9"/>
  <c r="D93" i="9"/>
  <c r="D81" i="9"/>
  <c r="D69" i="9"/>
  <c r="D57" i="9"/>
  <c r="D45" i="9"/>
  <c r="D37" i="9"/>
  <c r="D29" i="9"/>
  <c r="D21" i="9"/>
  <c r="D132" i="9"/>
  <c r="D124" i="9"/>
  <c r="D116" i="9"/>
  <c r="D108" i="9"/>
  <c r="D100" i="9"/>
  <c r="D92" i="9"/>
  <c r="D84" i="9"/>
  <c r="D76" i="9"/>
  <c r="D68" i="9"/>
  <c r="D60" i="9"/>
  <c r="D52" i="9"/>
  <c r="D44" i="9"/>
  <c r="D36" i="9"/>
  <c r="D28" i="9"/>
  <c r="D20" i="9"/>
  <c r="D12" i="9"/>
  <c r="D135" i="9"/>
  <c r="D131" i="9"/>
  <c r="D123" i="9"/>
  <c r="D119" i="9"/>
  <c r="D115" i="9"/>
  <c r="D111" i="9"/>
  <c r="D107" i="9"/>
  <c r="D103" i="9"/>
  <c r="D95" i="9"/>
  <c r="D91" i="9"/>
  <c r="D87" i="9"/>
  <c r="D83" i="9"/>
  <c r="D79" i="9"/>
  <c r="D75" i="9"/>
  <c r="D71" i="9"/>
  <c r="D67" i="9"/>
  <c r="D63" i="9"/>
  <c r="D59" i="9"/>
  <c r="D55" i="9"/>
  <c r="D51" i="9"/>
  <c r="D47" i="9"/>
  <c r="D43" i="9"/>
  <c r="D39" i="9"/>
  <c r="D35" i="9"/>
  <c r="D31" i="9"/>
  <c r="D27" i="9"/>
  <c r="D23" i="9"/>
  <c r="D19" i="9"/>
  <c r="D15" i="9"/>
  <c r="D11" i="9"/>
  <c r="D7" i="9"/>
  <c r="D138" i="9"/>
  <c r="D3" i="7"/>
  <c r="D3" i="5"/>
  <c r="D3" i="6"/>
  <c r="D3" i="13"/>
  <c r="D3" i="14"/>
  <c r="D3" i="15"/>
  <c r="D3" i="1"/>
  <c r="D3" i="4"/>
  <c r="D3" i="2"/>
  <c r="D3" i="18"/>
  <c r="D3" i="16"/>
  <c r="D3" i="17"/>
  <c r="D3" i="19"/>
  <c r="D3" i="21"/>
  <c r="D3" i="20"/>
  <c r="D3" i="8"/>
  <c r="C10" i="10" a="1"/>
  <c r="C17" i="10" a="1"/>
  <c r="B18" i="10"/>
  <c r="B10" i="10"/>
  <c r="C22" i="10" a="1"/>
  <c r="B20" i="10"/>
  <c r="C12" i="10" a="1"/>
  <c r="C7" i="10" a="1"/>
  <c r="B8" i="10"/>
  <c r="B21" i="10"/>
  <c r="B19" i="10"/>
  <c r="C19" i="10" a="1"/>
  <c r="C9" i="10" a="1"/>
  <c r="B13" i="10"/>
  <c r="C16" i="10" a="1"/>
  <c r="C8" i="10" a="1"/>
  <c r="C23" i="10" a="1"/>
  <c r="B17" i="10"/>
  <c r="C11" i="10" a="1"/>
  <c r="B14" i="10"/>
  <c r="B23" i="10"/>
  <c r="C14" i="10" a="1"/>
  <c r="C20" i="10" a="1"/>
  <c r="C13" i="10" a="1"/>
  <c r="B16" i="10"/>
  <c r="B12" i="10"/>
  <c r="C21" i="10" a="1"/>
  <c r="B22" i="10"/>
  <c r="B15" i="10"/>
  <c r="B9" i="10"/>
  <c r="B11" i="10"/>
  <c r="C18" i="10" a="1"/>
  <c r="C15" i="10" a="1"/>
  <c r="B7" i="10"/>
  <c r="C7" i="10" l="1"/>
  <c r="D7" i="10" s="1"/>
  <c r="C9" i="10"/>
  <c r="D9" i="10" s="1"/>
  <c r="C15" i="10"/>
  <c r="D15" i="10" s="1"/>
  <c r="C10" i="10"/>
  <c r="D10" i="10" s="1"/>
  <c r="C14" i="10"/>
  <c r="D14" i="10" s="1"/>
  <c r="C8" i="10"/>
  <c r="D8" i="10" s="1"/>
  <c r="C16" i="10"/>
  <c r="D16" i="10" s="1"/>
  <c r="C17" i="10"/>
  <c r="D17" i="10" s="1"/>
  <c r="C18" i="10"/>
  <c r="D18" i="10" s="1"/>
  <c r="C22" i="10"/>
  <c r="D22" i="10" s="1"/>
  <c r="C13" i="10"/>
  <c r="D13" i="10" s="1"/>
  <c r="C21" i="10"/>
  <c r="D21" i="10" s="1"/>
  <c r="C19" i="10"/>
  <c r="D19" i="10" s="1"/>
  <c r="C11" i="10"/>
  <c r="D11" i="10" s="1"/>
  <c r="C12" i="10"/>
  <c r="D12" i="10" s="1"/>
  <c r="C23" i="10"/>
  <c r="D23" i="10" s="1"/>
  <c r="C20" i="10"/>
  <c r="D20" i="10" s="1"/>
  <c r="D3" i="10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<sst xmlns="http://schemas.openxmlformats.org/spreadsheetml/2006/main" count="389" uniqueCount="170">
  <si>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</si>
  <si>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</si>
  <si>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</si>
  <si>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</si>
  <si>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</si>
  <si>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</si>
  <si>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</si>
  <si>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</si>
  <si>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</si>
  <si>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</si>
  <si>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Moroj Samir Abdel Hamid</t>
  </si>
  <si>
    <t>Shurooq Amer</t>
  </si>
  <si>
    <t>Kholod Khaled</t>
  </si>
  <si>
    <t>Iman Kouisseh</t>
  </si>
  <si>
    <t>Nadine Ghaleb</t>
  </si>
  <si>
    <t>Asmaa Ahmed</t>
  </si>
  <si>
    <t>Asmaa Adel</t>
  </si>
  <si>
    <t>Ines Rezgui</t>
  </si>
  <si>
    <t>Maha Fayez Al Ahmari</t>
  </si>
  <si>
    <t>Ikram Gueddes</t>
  </si>
  <si>
    <t>Shefa Ghazi</t>
  </si>
  <si>
    <t>Sirine Mohamed Hamdi</t>
  </si>
  <si>
    <t>Hadir Nasr Mohamed</t>
  </si>
  <si>
    <t>Wiem Dridi</t>
  </si>
  <si>
    <t>Shourooq Al Jundi</t>
  </si>
  <si>
    <t>Kholoud Khaled</t>
  </si>
  <si>
    <t>Rania Manita</t>
  </si>
  <si>
    <t>Sirine Jawadi</t>
  </si>
  <si>
    <t>Soulaima Hassan</t>
  </si>
  <si>
    <t>Cyrine Ali</t>
  </si>
  <si>
    <t>Asmaa Shehata</t>
  </si>
  <si>
    <t>Manel Manasria</t>
  </si>
  <si>
    <t>Sabrine Al Amine</t>
  </si>
  <si>
    <t>Mouna Farhat</t>
  </si>
  <si>
    <t>Salwa Mlaiki</t>
  </si>
  <si>
    <t>Hind Al Ahmad</t>
  </si>
  <si>
    <t>Safa Al Saggadi</t>
  </si>
  <si>
    <t>Walaa Kamel</t>
  </si>
  <si>
    <t>Al Bandari Al Harbi</t>
  </si>
  <si>
    <t>Hala Saied</t>
  </si>
  <si>
    <t>Nahla Al Hajri</t>
  </si>
  <si>
    <t>Hidaya Moubarak</t>
  </si>
  <si>
    <t>Taghrid Khaled</t>
  </si>
  <si>
    <t>Warda Al Hajji</t>
  </si>
  <si>
    <t>RUH - Al Fayha</t>
  </si>
  <si>
    <t xml:space="preserve">اسم النادي
</t>
  </si>
  <si>
    <t xml:space="preserve">CLUB NAME
</t>
  </si>
  <si>
    <t>منذ بداية السنة حتى اليوم</t>
  </si>
  <si>
    <t>منذ بداية الشهر حتى اليوم</t>
  </si>
  <si>
    <t>آخر 7 أيام</t>
  </si>
  <si>
    <t>YEAR TO DATE</t>
  </si>
  <si>
    <t>MONTH TO DATE</t>
  </si>
  <si>
    <t>LAST 7 DAYS</t>
  </si>
  <si>
    <t>JED - Al Basateen</t>
  </si>
  <si>
    <t>JED - Al Faisaliyah</t>
  </si>
  <si>
    <t>JED - Al Naeem</t>
  </si>
  <si>
    <t>RUH - Al Aarid</t>
  </si>
  <si>
    <t>DMM - Al Faisaliyah</t>
  </si>
  <si>
    <t>Guesmi Kholoud</t>
  </si>
  <si>
    <t>Shaden Omar</t>
  </si>
  <si>
    <t>Taif Saad Alahmari</t>
  </si>
  <si>
    <t>Areej Hajj Abdallah</t>
  </si>
  <si>
    <t>Sarah Shaabane</t>
  </si>
  <si>
    <t>Rania Bahloul</t>
  </si>
  <si>
    <t>Sara Said</t>
  </si>
  <si>
    <t>Maram Tlili</t>
  </si>
  <si>
    <t>Raghad Al Bir Qaddar</t>
  </si>
  <si>
    <t>Asayel Sultan</t>
  </si>
  <si>
    <t>Maysem Mohamed</t>
  </si>
  <si>
    <t>Lamia Al Amer</t>
  </si>
  <si>
    <t>Shayma Abbes</t>
  </si>
  <si>
    <t>Sara Mahdi</t>
  </si>
  <si>
    <t>Diaa Sobhi</t>
  </si>
  <si>
    <t>Chourouk Sherif</t>
  </si>
  <si>
    <t>Maryam Al-Qawsari</t>
  </si>
  <si>
    <t>Feryel Ben Nacer</t>
  </si>
  <si>
    <t>Al Anoud Saleh Al-Qablan</t>
  </si>
  <si>
    <t>Ebtihal Al Kathiri</t>
  </si>
  <si>
    <t>Moulouk Al Lawi</t>
  </si>
  <si>
    <t>Rasha Hamid</t>
  </si>
  <si>
    <t>Nourhan Hosny</t>
  </si>
  <si>
    <t>Malak Al Zahabi</t>
  </si>
  <si>
    <t>Reyouf Saad</t>
  </si>
  <si>
    <t>Mirna Mostafa</t>
  </si>
  <si>
    <t>Nada Mohamed Khalifa</t>
  </si>
  <si>
    <t>RUH - Al Sahafa</t>
  </si>
  <si>
    <t>RUH - Al Malaz</t>
  </si>
  <si>
    <t>Al Ahsaa</t>
  </si>
  <si>
    <t>DMM - Al Jalawiah</t>
  </si>
  <si>
    <t>ALQ - Unaizah</t>
  </si>
  <si>
    <t>ALQ - Buraidah</t>
  </si>
  <si>
    <t>RUH - Al Badia</t>
  </si>
  <si>
    <t>RUH - Badr</t>
  </si>
  <si>
    <t>RUH - Al Uraija</t>
  </si>
  <si>
    <t>Iman Aboushosha</t>
  </si>
  <si>
    <t>Amina Mohammad Mosbeh</t>
  </si>
  <si>
    <t>Marwa Almudyni</t>
  </si>
  <si>
    <t>Afnan Khalid</t>
  </si>
  <si>
    <t>Mona Maatouq</t>
  </si>
  <si>
    <t>Samar Mohammed</t>
  </si>
  <si>
    <t>Asmaa Mahmoud</t>
  </si>
  <si>
    <t>Chaima Boutita</t>
  </si>
  <si>
    <t>Asmaa Ashraf</t>
  </si>
  <si>
    <t>Chaima Gharsalli</t>
  </si>
  <si>
    <t>Emna Ben Chalbia</t>
  </si>
  <si>
    <t>Rana Mohammad Hassan Aaref</t>
  </si>
  <si>
    <t>Roua Al-Hashemi Bin Naeimah</t>
  </si>
  <si>
    <t>Yosra Al-Mzoughi</t>
  </si>
  <si>
    <t>Esraa Labib Noomani</t>
  </si>
  <si>
    <t>Asmaa Aalaa Al-Din</t>
  </si>
  <si>
    <t>Samar Lajnef</t>
  </si>
  <si>
    <t>Rawiya Alarousi Mabrouk</t>
  </si>
  <si>
    <t>Anfal Nasser Alhusseini</t>
  </si>
  <si>
    <t>Nourhan Ehab Amarah</t>
  </si>
  <si>
    <t>Nouran Emad Jad</t>
  </si>
  <si>
    <t>Ines Souissi</t>
  </si>
  <si>
    <t>Lulu Alzaaj</t>
  </si>
  <si>
    <t>Malath Suleiman Alshamasi</t>
  </si>
  <si>
    <t>Chayma Hannachi</t>
  </si>
  <si>
    <t>Mai Mosleh</t>
  </si>
  <si>
    <t>Takwa Abdelly</t>
  </si>
  <si>
    <t>Hasna AlKayyal</t>
  </si>
  <si>
    <t>Hanin Barrani</t>
  </si>
  <si>
    <t>Safa Radif</t>
  </si>
  <si>
    <t>Maram Farhawi</t>
  </si>
  <si>
    <t>Rajae Al-Jabouji</t>
  </si>
  <si>
    <t>Shorouq Osama Metwaly Ibrahim</t>
  </si>
  <si>
    <t>Arwa Ahmed Baflah</t>
  </si>
  <si>
    <t>Hadeer Ibrahim Gamal</t>
  </si>
  <si>
    <t>Rihem Hossam</t>
  </si>
  <si>
    <t>Amal Al-Bjeoui</t>
  </si>
  <si>
    <t>Nawal Akermi</t>
  </si>
  <si>
    <t>Seham Hussein</t>
  </si>
  <si>
    <t>Basnat Abdel Qawi</t>
  </si>
  <si>
    <t>Sanae Hassel</t>
  </si>
  <si>
    <t>Sarah Rasheeq</t>
  </si>
  <si>
    <t>Khouloud Wanna</t>
  </si>
  <si>
    <t>Hadiya Al-Mohammad</t>
  </si>
  <si>
    <t>Aya Al-Jallouli</t>
  </si>
  <si>
    <t>AlUla</t>
  </si>
  <si>
    <t>Tabuk</t>
  </si>
  <si>
    <t>Amal Saad</t>
  </si>
  <si>
    <t>Bassant Majed Eid</t>
  </si>
  <si>
    <t>Marwa Jendoubi</t>
  </si>
  <si>
    <t>Sahar Mrad Berguiga</t>
  </si>
  <si>
    <t>Ishraf Mohamed Al-Zaghdoudi</t>
  </si>
  <si>
    <t>Nada Ahmed Mohamed</t>
  </si>
  <si>
    <t>Rasha Abu Hassan</t>
  </si>
  <si>
    <t>Walaa Ahmed</t>
  </si>
  <si>
    <t>Amal Saleh</t>
  </si>
  <si>
    <t>Bayan Al-Anzi</t>
  </si>
  <si>
    <t>Rehab Naji Al-Nasri</t>
  </si>
  <si>
    <t>Khouloud Suibgui</t>
  </si>
  <si>
    <t>Anwar Ben Rhayem</t>
  </si>
  <si>
    <t>MONTHLY TOTAL:</t>
  </si>
  <si>
    <t>Malek Belguith</t>
  </si>
  <si>
    <t>Ranim Brahmi</t>
  </si>
  <si>
    <t>Nermin Hadi Debaya</t>
  </si>
  <si>
    <t>Chaza Ben Miled</t>
  </si>
  <si>
    <t>Aya Maayoufi</t>
  </si>
  <si>
    <t>Raja Reeba</t>
  </si>
  <si>
    <t>Hajer Jamal Al-Deen Khalifa Ali</t>
  </si>
  <si>
    <t>Rim Chabi</t>
  </si>
  <si>
    <t>Mariam Baomar</t>
  </si>
  <si>
    <t>Rahma Qays</t>
  </si>
  <si>
    <t>Khawla Saif</t>
  </si>
  <si>
    <t>Zouhaira Al-Omrani</t>
  </si>
  <si>
    <t>Aya Mahmoud Abed Al-Wanis</t>
  </si>
  <si>
    <t xml:space="preserve">CLIENT ID
</t>
  </si>
  <si>
    <t xml:space="preserve">رقم العميل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</si>
</sst>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2"/>
      <color theme="1"/>
      <name val="Tahoma"/>
      <family val="2"/>
    </font>
    <font>
      <sz val="26"/>
      <color theme="1"/>
      <name val="Source Sans Pro"/>
      <family val="2"/>
    </font>
    <font>
      <sz val="10"/>
      <color theme="1"/>
      <name val="Source Sans Pro"/>
      <family val="2"/>
    </font>
    <font>
      <sz val="20"/>
      <color rgb="FF000000"/>
      <name val="Tahoma"/>
      <family val="2"/>
    </font>
    <font>
      <sz val="25"/>
      <color theme="1"/>
      <name val="Source Sans Pro"/>
      <family val="2"/>
    </font>
    <font>
      <sz val="22"/>
      <color theme="1"/>
      <name val="Source Sans Pro Regular"/>
    </font>
    <font>
      <sz val="20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2BB46"/>
        <bgColor indexed="64"/>
      </patternFill>
    </fill>
    <fill>
      <patternFill patternType="solid">
        <fgColor rgb="FF4B868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4B858F"/>
        <bgColor indexed="64"/>
      </patternFill>
    </fill>
    <fill>
      <patternFill patternType="solid">
        <fgColor theme="0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rgb="FFFFFFFF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/>
      <right/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1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164" fontId="1" fillId="0" borderId="0" xfId="0" applyNumberFormat="1" applyFont="1"/>
    <xf numFmtId="0" fontId="3" fillId="2" borderId="0" xfId="0" applyFont="1" applyFill="1" applyAlignment="1">
      <alignment horizontal="right" vertical="center" indent="2"/>
    </xf>
    <xf numFmtId="164" fontId="3" fillId="2" borderId="0" xfId="0" applyNumberFormat="1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164" fontId="5" fillId="3" borderId="2" xfId="0" applyNumberFormat="1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164" fontId="6" fillId="3" borderId="4" xfId="0" applyNumberFormat="1" applyFont="1" applyFill="1" applyBorder="1" applyAlignment="1">
      <alignment horizontal="left" vertical="top" wrapText="1"/>
    </xf>
    <xf numFmtId="0" fontId="7" fillId="4" borderId="5" xfId="0" applyFont="1" applyFill="1" applyBorder="1" applyAlignment="1">
      <alignment horizontal="left" vertical="center" wrapText="1"/>
    </xf>
    <xf numFmtId="14" fontId="7" fillId="4" borderId="2" xfId="0" applyNumberFormat="1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/>
    <xf numFmtId="164" fontId="7" fillId="4" borderId="6" xfId="0" applyNumberFormat="1" applyFont="1" applyFill="1" applyBorder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164" fontId="11" fillId="0" borderId="0" xfId="0" applyNumberFormat="1" applyFont="1" applyAlignment="1">
      <alignment vertical="center"/>
    </xf>
    <xf numFmtId="164" fontId="11" fillId="0" borderId="0" xfId="0" applyNumberFormat="1" applyFont="1"/>
    <xf numFmtId="0" fontId="1" fillId="5" borderId="0" xfId="0" applyFont="1" applyFill="1"/>
    <xf numFmtId="0" fontId="0" fillId="5" borderId="0" xfId="0" applyFill="1"/>
    <xf numFmtId="0" fontId="1" fillId="5" borderId="0" xfId="0" applyFont="1" applyFill="1" applyAlignment="1">
      <alignment horizontal="center"/>
    </xf>
    <xf numFmtId="0" fontId="7" fillId="6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 indent="1"/>
    </xf>
    <xf numFmtId="0" fontId="7" fillId="6" borderId="8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6" xfId="0" applyFont="1" applyFill="1" applyBorder="1" applyAlignment="1">
      <alignment horizontal="center" vertical="center" wrapText="1"/>
    </xf>
    <xf numFmtId="0" fontId="13" fillId="0" borderId="0" xfId="0" applyFont="1"/>
    <xf numFmtId="17" fontId="4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7" fillId="5" borderId="0" xfId="0" applyFont="1" applyFill="1" applyAlignment="1">
      <alignment horizontal="left" vertical="center" wrapText="1" inden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left" vertical="center" indent="1"/>
    </xf>
    <xf numFmtId="0" fontId="7" fillId="6" borderId="9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indent="1"/>
    </xf>
    <xf numFmtId="0" fontId="7" fillId="6" borderId="15" xfId="0" applyFont="1" applyFill="1" applyBorder="1" applyAlignment="1">
      <alignment horizontal="center" vertical="center"/>
    </xf>
    <xf numFmtId="0" fontId="7" fillId="6" borderId="15" xfId="0" applyFont="1" applyFill="1" applyBorder="1" applyAlignment="1">
      <alignment horizontal="left" vertical="center" wrapText="1" indent="1"/>
    </xf>
    <xf numFmtId="0" fontId="5" fillId="8" borderId="10" xfId="0" applyFont="1" applyFill="1" applyBorder="1" applyAlignment="1">
      <alignment horizontal="left" vertical="top" wrapText="1"/>
    </xf>
    <xf numFmtId="0" fontId="5" fillId="8" borderId="6" xfId="0" applyFont="1" applyFill="1" applyBorder="1" applyAlignment="1">
      <alignment horizontal="left" vertical="top" wrapText="1"/>
    </xf>
    <xf numFmtId="0" fontId="6" fillId="8" borderId="3" xfId="0" applyFont="1" applyFill="1" applyBorder="1" applyAlignment="1">
      <alignment horizontal="left" vertical="top" wrapText="1"/>
    </xf>
    <xf numFmtId="0" fontId="6" fillId="8" borderId="9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 wrapText="1"/>
    </xf>
    <xf numFmtId="0" fontId="5" fillId="8" borderId="2" xfId="0" applyFont="1" applyFill="1" applyBorder="1" applyAlignment="1">
      <alignment horizontal="left" vertical="top"/>
    </xf>
    <xf numFmtId="0" fontId="6" fillId="8" borderId="4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center" vertical="center" wrapText="1"/>
    </xf>
    <xf numFmtId="0" fontId="7" fillId="5" borderId="6" xfId="0" applyFont="1" applyFill="1" applyBorder="1" applyAlignment="1">
      <alignment horizontal="center" vertical="center" wrapText="1"/>
    </xf>
    <xf numFmtId="0" fontId="14" fillId="9" borderId="11" xfId="0" applyFont="1" applyFill="1" applyBorder="1" applyAlignment="1">
      <alignment horizontal="center" vertical="center" wrapText="1"/>
    </xf>
    <xf numFmtId="0" fontId="7" fillId="6" borderId="5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 wrapText="1"/>
    </xf>
    <xf numFmtId="15" fontId="4" fillId="0" borderId="0" xfId="0" applyNumberFormat="1" applyFont="1" applyAlignment="1">
      <alignment horizontal="left" vertical="center"/>
    </xf>
    <xf numFmtId="0" fontId="7" fillId="6" borderId="9" xfId="0" applyFont="1" applyFill="1" applyBorder="1" applyAlignment="1">
      <alignment horizontal="center" vertical="center" wrapText="1"/>
    </xf>
    <xf numFmtId="0" fontId="7" fillId="6" borderId="9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4" borderId="14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7" fillId="6" borderId="16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left" vertical="center" indent="1"/>
    </xf>
    <xf numFmtId="0" fontId="7" fillId="6" borderId="18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center" vertical="center"/>
    </xf>
    <xf numFmtId="0" fontId="7" fillId="6" borderId="19" xfId="0" applyFont="1" applyFill="1" applyBorder="1" applyAlignment="1">
      <alignment horizontal="left" vertical="center" wrapText="1" indent="1"/>
    </xf>
    <xf numFmtId="0" fontId="7" fillId="6" borderId="19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/>
    </xf>
    <xf numFmtId="0" fontId="7" fillId="6" borderId="17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left" vertical="center" wrapText="1" indent="1"/>
    </xf>
    <xf numFmtId="0" fontId="15" fillId="0" borderId="0" xfId="0" applyFont="1"/>
    <xf numFmtId="0" fontId="7" fillId="4" borderId="9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 wrapText="1"/>
    </xf>
    <xf numFmtId="14" fontId="7" fillId="6" borderId="2" xfId="0" applyNumberFormat="1" applyFont="1" applyFill="1" applyBorder="1" applyAlignment="1">
      <alignment horizontal="left" vertical="center"/>
    </xf>
    <xf numFmtId="164" fontId="7" fillId="6" borderId="6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left" vertical="center"/>
    </xf>
    <xf numFmtId="0" fontId="16" fillId="0" borderId="0" xfId="0" applyFont="1" applyAlignment="1">
      <alignment horizontal="left" vertical="center" indent="1"/>
    </xf>
    <xf numFmtId="0" fontId="7" fillId="6" borderId="20" xfId="0" applyFont="1" applyFill="1" applyBorder="1" applyAlignment="1">
      <alignment horizontal="center" vertical="center"/>
    </xf>
    <xf numFmtId="0" fontId="7" fillId="6" borderId="20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indent="1" readingOrder="1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1" fillId="0" borderId="3" xfId="0" applyFont="1" applyBorder="1"/>
    <xf numFmtId="0" fontId="1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12" fillId="0" borderId="7" xfId="0" applyFont="1" applyBorder="1" applyAlignment="1">
      <alignment horizontal="center"/>
    </xf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4B858F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74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38" customWidth="1"/>
    <col min="4" max="4" width="83.5" style="38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4" t="s">
        <v>0</v>
      </c>
      <c r="B3" s="69">
        <v>46119</v>
      </c>
      <c r="C3" s="4" t="s">
        <v>154</v>
      </c>
      <c r="D3" s="97">
        <f ca="1">SUM(C7:C23)</f>
        <v>0</v>
      </c>
    </row>
    <row r="4" spans="1:16" ht="47.75" customHeight="1" x14ac:dyDescent="0.35">
      <c r="B4" s="2"/>
      <c r="C4" s="91"/>
      <c r="D4" s="1"/>
    </row>
    <row r="5" spans="1:16" ht="49.25" customHeight="1" x14ac:dyDescent="0.2">
      <c r="A5" s="57" t="s">
        <v>46</v>
      </c>
      <c r="B5" s="57" t="s">
        <v>52</v>
      </c>
      <c r="C5" s="58" t="s">
        <v>51</v>
      </c>
      <c r="D5" s="59" t="s">
        <v>50</v>
      </c>
      <c r="F5" s="10"/>
    </row>
    <row r="6" spans="1:16" ht="49.25" customHeight="1" x14ac:dyDescent="0.2">
      <c r="A6" s="55" t="s">
        <v>45</v>
      </c>
      <c r="B6" s="60" t="s">
        <v>49</v>
      </c>
      <c r="C6" s="60" t="s">
        <v>48</v>
      </c>
      <c r="D6" s="60" t="s">
        <v>47</v>
      </c>
      <c r="F6" s="10"/>
    </row>
    <row r="7" spans="1:16" s="18" customFormat="1" ht="60" customHeight="1" x14ac:dyDescent="0.2">
      <c r="A7" s="62" t="s">
        <v>86</v>
      </c>
      <c r="B7" s="41">
        <f t="shared" ref="B7:B17" ca="1" si="0">IFERROR(
  COUNTIFS(
    INDIRECT("'" &amp; $A7 &amp; "'!D:D"), "&gt;=" &amp; $B$3-7,
    INDIRECT("'" &amp; $A7 &amp; "'!D:D"), "&lt;=" &amp; $B$3
  ),
0)</f>
        <v>0</v>
      </c>
      <c r="C7" s="40" cm="1">
        <f t="array" aca="1" ref="C7" ca="1">INDIRECT("'" &amp; A7 &amp; "'!D3")</f>
        <v>0</v>
      </c>
      <c r="D7" s="40">
        <f ca="1">C7+527</f>
        <v>527</v>
      </c>
      <c r="E7" s="19"/>
      <c r="F7" s="19"/>
      <c r="G7" s="64"/>
      <c r="H7" s="19"/>
      <c r="I7" s="19"/>
      <c r="J7" s="19"/>
      <c r="K7" s="17"/>
      <c r="L7" s="19"/>
      <c r="M7" s="19"/>
      <c r="N7" s="19"/>
      <c r="O7" s="19"/>
      <c r="P7" s="19"/>
    </row>
    <row r="8" spans="1:16" s="17" customFormat="1" ht="60" customHeight="1" x14ac:dyDescent="0.2">
      <c r="A8" s="62" t="s">
        <v>85</v>
      </c>
      <c r="B8" s="41">
        <f t="shared" ca="1" si="0"/>
        <v>0</v>
      </c>
      <c r="C8" s="40" cm="1">
        <f t="array" aca="1" ref="C8" ca="1">INDIRECT("'" &amp; A8 &amp; "'!D3")</f>
        <v>0</v>
      </c>
      <c r="D8" s="40">
        <f ca="1">C8+244</f>
        <v>244</v>
      </c>
      <c r="E8" s="18"/>
      <c r="F8" s="18"/>
      <c r="G8" s="64"/>
      <c r="H8" s="18"/>
      <c r="I8" s="18"/>
      <c r="J8" s="18"/>
      <c r="K8" s="18"/>
      <c r="L8" s="18"/>
      <c r="M8" s="18"/>
      <c r="N8" s="18"/>
      <c r="O8" s="18"/>
      <c r="P8" s="18"/>
    </row>
    <row r="9" spans="1:16" s="17" customFormat="1" ht="60" customHeight="1" x14ac:dyDescent="0.2">
      <c r="A9" s="62" t="s">
        <v>56</v>
      </c>
      <c r="B9" s="41">
        <f t="shared" ca="1" si="0"/>
        <v>0</v>
      </c>
      <c r="C9" s="40" cm="1">
        <f t="array" aca="1" ref="C9" ca="1">INDIRECT("'" &amp; A9 &amp; "'!D3")</f>
        <v>0</v>
      </c>
      <c r="D9" s="40">
        <f ca="1">C9+113</f>
        <v>113</v>
      </c>
      <c r="G9" s="64"/>
    </row>
    <row r="10" spans="1:16" s="17" customFormat="1" ht="60" customHeight="1" x14ac:dyDescent="0.2">
      <c r="A10" s="35" t="s">
        <v>44</v>
      </c>
      <c r="B10" s="41">
        <f ca="1">IFERROR(
  COUNTIFS(
    INDIRECT("'" &amp; $A10 &amp; "'!D:D"), "&gt;=" &amp; $B$3-7,
    INDIRECT("'" &amp; $A10 &amp; "'!D:D"), "&lt;=" &amp; $B$3
  ),
0)</f>
        <v>0</v>
      </c>
      <c r="C10" s="40" cm="1">
        <f t="array" aca="1" ref="C10" ca="1">INDIRECT("'" &amp; A10 &amp; "'!D3")</f>
        <v>0</v>
      </c>
      <c r="D10" s="40">
        <f ca="1">C10+63</f>
        <v>63</v>
      </c>
      <c r="G10" s="64"/>
    </row>
    <row r="11" spans="1:16" ht="60" customHeight="1" x14ac:dyDescent="0.2">
      <c r="A11" s="62" t="s">
        <v>93</v>
      </c>
      <c r="B11" s="41">
        <f ca="1">IFERROR(
  COUNTIFS(
    INDIRECT("'" &amp; $A11 &amp; "'!D:D"), "&gt;=" &amp; $B$3-7,
    INDIRECT("'" &amp; $A11 &amp; "'!D:D"), "&lt;=" &amp; $B$3
  ),
0)</f>
        <v>0</v>
      </c>
      <c r="C11" s="40" cm="1">
        <f t="array" aca="1" ref="C11" ca="1">INDIRECT("'" &amp; A11 &amp; "'!D3")</f>
        <v>0</v>
      </c>
      <c r="D11" s="40">
        <f ca="1">C11+48</f>
        <v>48</v>
      </c>
      <c r="F11" s="1"/>
      <c r="G11" s="65"/>
    </row>
    <row r="12" spans="1:16" s="17" customFormat="1" ht="60" customHeight="1" x14ac:dyDescent="0.2">
      <c r="A12" s="62" t="s">
        <v>92</v>
      </c>
      <c r="B12" s="41">
        <f ca="1">IFERROR(
  COUNTIFS(
    INDIRECT("'" &amp; $A12 &amp; "'!D:D"), "&gt;=" &amp; $B$3-7,
    INDIRECT("'" &amp; $A12 &amp; "'!D:D"), "&lt;=" &amp; $B$3
  ),
0)</f>
        <v>0</v>
      </c>
      <c r="C12" s="40" cm="1">
        <f t="array" aca="1" ref="C12" ca="1">INDIRECT("'" &amp; A12 &amp; "'!D3")</f>
        <v>0</v>
      </c>
      <c r="D12" s="40">
        <f ca="1">C12+21</f>
        <v>21</v>
      </c>
      <c r="G12" s="64"/>
    </row>
    <row r="13" spans="1:16" s="17" customFormat="1" ht="60" customHeight="1" x14ac:dyDescent="0.2">
      <c r="A13" s="62" t="s">
        <v>91</v>
      </c>
      <c r="B13" s="41">
        <f ca="1">IFERROR(
  COUNTIFS(
    INDIRECT("'" &amp; $A13 &amp; "'!D:D"), "&gt;=" &amp; $B$3-7,
    INDIRECT("'" &amp; $A13 &amp; "'!D:D"), "&lt;=" &amp; $B$3
  ),
0)</f>
        <v>0</v>
      </c>
      <c r="C13" s="40" cm="1">
        <f t="array" aca="1" ref="C13" ca="1">INDIRECT("'" &amp; A13 &amp; "'!D3")</f>
        <v>0</v>
      </c>
      <c r="D13" s="40">
        <f ca="1">C13+68</f>
        <v>68</v>
      </c>
      <c r="G13" s="66"/>
    </row>
    <row r="14" spans="1:16" s="18" customFormat="1" ht="60" customHeight="1" x14ac:dyDescent="0.2">
      <c r="A14" s="62" t="s">
        <v>53</v>
      </c>
      <c r="B14" s="41">
        <f ca="1">IFERROR(
  COUNTIFS(
    INDIRECT("'" &amp; $A14 &amp; "'!D:D"), "&gt;=" &amp; $B$3-7,
    INDIRECT("'" &amp; $A14 &amp; "'!D:D"), "&lt;=" &amp; $B$3
  ),
0)</f>
        <v>0</v>
      </c>
      <c r="C14" s="40" cm="1">
        <f t="array" aca="1" ref="C14" ca="1">INDIRECT("'" &amp; A14 &amp; "'!D3")</f>
        <v>0</v>
      </c>
      <c r="D14" s="40">
        <f ca="1">C14+211</f>
        <v>211</v>
      </c>
      <c r="E14" s="19"/>
      <c r="F14" s="19"/>
      <c r="G14" s="65"/>
      <c r="H14" s="19"/>
      <c r="I14" s="19"/>
      <c r="J14" s="19"/>
      <c r="K14" s="17"/>
      <c r="L14" s="19"/>
      <c r="M14" s="19"/>
      <c r="N14" s="19"/>
      <c r="O14" s="19"/>
      <c r="P14" s="19"/>
    </row>
    <row r="15" spans="1:16" customFormat="1" ht="60" customHeight="1" x14ac:dyDescent="0.2">
      <c r="A15" s="63" t="s">
        <v>54</v>
      </c>
      <c r="B15" s="41">
        <f t="shared" ca="1" si="0"/>
        <v>0</v>
      </c>
      <c r="C15" s="40" cm="1">
        <f t="array" aca="1" ref="C15" ca="1">INDIRECT("'" &amp; A15 &amp; "'!D3")</f>
        <v>0</v>
      </c>
      <c r="D15" s="40">
        <f ca="1">C15+154</f>
        <v>154</v>
      </c>
      <c r="E15" s="20"/>
    </row>
    <row r="16" spans="1:16" customFormat="1" ht="60" customHeight="1" x14ac:dyDescent="0.2">
      <c r="A16" s="62" t="s">
        <v>55</v>
      </c>
      <c r="B16" s="41">
        <f t="shared" ca="1" si="0"/>
        <v>0</v>
      </c>
      <c r="C16" s="40" cm="1">
        <f t="array" aca="1" ref="C16" ca="1">INDIRECT("'" &amp; A16 &amp; "'!D3")</f>
        <v>0</v>
      </c>
      <c r="D16" s="40">
        <f ca="1">C16+61</f>
        <v>61</v>
      </c>
      <c r="E16" s="20"/>
    </row>
    <row r="17" spans="1:5" customFormat="1" ht="60" customHeight="1" x14ac:dyDescent="0.2">
      <c r="A17" s="35" t="s">
        <v>57</v>
      </c>
      <c r="B17" s="41">
        <f t="shared" ca="1" si="0"/>
        <v>0</v>
      </c>
      <c r="C17" s="40" cm="1">
        <f t="array" aca="1" ref="C17" ca="1">INDIRECT("'" &amp; A17 &amp; "'!D3")</f>
        <v>0</v>
      </c>
      <c r="D17" s="40">
        <f ca="1">C17+86</f>
        <v>86</v>
      </c>
      <c r="E17" s="20"/>
    </row>
    <row r="18" spans="1:5" customFormat="1" ht="60" customHeight="1" x14ac:dyDescent="0.2">
      <c r="A18" s="62" t="s">
        <v>88</v>
      </c>
      <c r="B18" s="41">
        <f t="shared" ref="B18:B23" ca="1" si="1">IFERROR(
  COUNTIFS(
    INDIRECT("'" &amp; $A18 &amp; "'!D:D"), "&gt;=" &amp; $B$3-7,
    INDIRECT("'" &amp; $A18 &amp; "'!D:D"), "&lt;=" &amp; $B$3
  ),
0)</f>
        <v>0</v>
      </c>
      <c r="C18" s="40" cm="1">
        <f t="array" aca="1" ref="C18" ca="1">INDIRECT("'" &amp; A18 &amp; "'!D3")</f>
        <v>0</v>
      </c>
      <c r="D18" s="40">
        <f ca="1">C18+38</f>
        <v>38</v>
      </c>
      <c r="E18" s="20"/>
    </row>
    <row r="19" spans="1:5" customFormat="1" ht="60" customHeight="1" x14ac:dyDescent="0.2">
      <c r="A19" s="63" t="s">
        <v>90</v>
      </c>
      <c r="B19" s="41">
        <f t="shared" ca="1" si="1"/>
        <v>0</v>
      </c>
      <c r="C19" s="40" cm="1">
        <f t="array" aca="1" ref="C19" ca="1">INDIRECT("'" &amp; A19 &amp; "'!D3")</f>
        <v>0</v>
      </c>
      <c r="D19" s="40">
        <f ca="1">C19+29</f>
        <v>29</v>
      </c>
      <c r="E19" s="20"/>
    </row>
    <row r="20" spans="1:5" customFormat="1" ht="60" customHeight="1" x14ac:dyDescent="0.2">
      <c r="A20" s="35" t="s">
        <v>89</v>
      </c>
      <c r="B20" s="41">
        <f t="shared" ca="1" si="1"/>
        <v>0</v>
      </c>
      <c r="C20" s="40" cm="1">
        <f t="array" aca="1" ref="C20" ca="1">INDIRECT("'" &amp; A20 &amp; "'!D3")</f>
        <v>0</v>
      </c>
      <c r="D20" s="40">
        <f ca="1">C20+20</f>
        <v>20</v>
      </c>
      <c r="E20" s="20"/>
    </row>
    <row r="21" spans="1:5" customFormat="1" ht="60" customHeight="1" x14ac:dyDescent="0.2">
      <c r="A21" s="62" t="s">
        <v>87</v>
      </c>
      <c r="B21" s="41">
        <f t="shared" ca="1" si="1"/>
        <v>0</v>
      </c>
      <c r="C21" s="40" cm="1">
        <f t="array" aca="1" ref="C21" ca="1">INDIRECT("'" &amp; A21 &amp; "'!D3")</f>
        <v>0</v>
      </c>
      <c r="D21" s="40">
        <f ca="1">C21+48</f>
        <v>48</v>
      </c>
      <c r="E21" s="20"/>
    </row>
    <row r="22" spans="1:5" customFormat="1" ht="60" customHeight="1" x14ac:dyDescent="0.2">
      <c r="A22" s="35" t="s">
        <v>139</v>
      </c>
      <c r="B22" s="41">
        <f t="shared" ca="1" si="1"/>
        <v>0</v>
      </c>
      <c r="C22" s="40" cm="1">
        <f t="array" aca="1" ref="C22" ca="1">INDIRECT("'" &amp; A22 &amp; "'!D3")</f>
        <v>0</v>
      </c>
      <c r="D22" s="40">
        <f ca="1">C22+16</f>
        <v>16</v>
      </c>
      <c r="E22" s="20"/>
    </row>
    <row r="23" spans="1:5" customFormat="1" ht="60" customHeight="1" x14ac:dyDescent="0.2">
      <c r="A23" s="62" t="s">
        <v>140</v>
      </c>
      <c r="B23" s="41">
        <f t="shared" ca="1" si="1"/>
        <v>0</v>
      </c>
      <c r="C23" s="40" cm="1">
        <f t="array" aca="1" ref="C23" ca="1">INDIRECT("'" &amp; A23 &amp; "'!D3")</f>
        <v>0</v>
      </c>
      <c r="D23" s="40">
        <f ca="1">C23+11</f>
        <v>11</v>
      </c>
      <c r="E23" s="20"/>
    </row>
    <row r="24" spans="1:5" customFormat="1" ht="16" x14ac:dyDescent="0.2">
      <c r="A24" s="20"/>
      <c r="B24" s="20"/>
      <c r="C24" s="39"/>
      <c r="D24" s="39"/>
      <c r="E24" s="20"/>
    </row>
    <row r="25" spans="1:5" customFormat="1" ht="16" x14ac:dyDescent="0.2">
      <c r="A25" s="20"/>
      <c r="B25" s="20"/>
      <c r="C25" s="39"/>
      <c r="D25" s="39"/>
      <c r="E25" s="20"/>
    </row>
    <row r="26" spans="1:5" customFormat="1" ht="16" x14ac:dyDescent="0.2">
      <c r="A26" s="20"/>
      <c r="B26" s="20"/>
      <c r="C26" s="39"/>
      <c r="D26" s="39"/>
      <c r="E26" s="20"/>
    </row>
    <row r="27" spans="1:5" customFormat="1" ht="16" x14ac:dyDescent="0.2">
      <c r="A27" s="20"/>
      <c r="B27" s="20"/>
      <c r="C27" s="39"/>
      <c r="D27" s="39"/>
      <c r="E27" s="20"/>
    </row>
    <row r="28" spans="1:5" customFormat="1" ht="16" x14ac:dyDescent="0.2">
      <c r="A28" s="20"/>
      <c r="B28" s="20"/>
      <c r="C28" s="39"/>
      <c r="D28" s="39"/>
      <c r="E28" s="20"/>
    </row>
    <row r="29" spans="1:5" customFormat="1" ht="16" x14ac:dyDescent="0.2">
      <c r="A29" s="20"/>
      <c r="B29" s="20"/>
      <c r="C29" s="39"/>
      <c r="D29" s="39"/>
      <c r="E29" s="20"/>
    </row>
    <row r="30" spans="1:5" customFormat="1" ht="16" x14ac:dyDescent="0.2">
      <c r="A30" s="20"/>
      <c r="B30" s="20"/>
      <c r="C30" s="39"/>
      <c r="D30" s="39"/>
      <c r="E30" s="20"/>
    </row>
    <row r="31" spans="1:5" customFormat="1" ht="16" x14ac:dyDescent="0.2">
      <c r="A31" s="20"/>
      <c r="B31" s="20"/>
      <c r="C31" s="39"/>
      <c r="D31" s="39"/>
      <c r="E31" s="20"/>
    </row>
    <row r="32" spans="1:5" customFormat="1" ht="16" x14ac:dyDescent="0.2">
      <c r="A32" s="20"/>
      <c r="B32" s="20"/>
      <c r="C32" s="39"/>
      <c r="D32" s="39"/>
      <c r="E32" s="20"/>
    </row>
    <row r="33" spans="1:5" customFormat="1" ht="16" x14ac:dyDescent="0.2">
      <c r="A33" s="20"/>
      <c r="B33" s="20"/>
      <c r="C33" s="39"/>
      <c r="D33" s="39"/>
      <c r="E33" s="20"/>
    </row>
    <row r="34" spans="1:5" customFormat="1" ht="16" x14ac:dyDescent="0.2">
      <c r="A34" s="20"/>
      <c r="B34" s="20"/>
      <c r="C34" s="39"/>
      <c r="D34" s="39"/>
      <c r="E34" s="20"/>
    </row>
    <row r="35" spans="1:5" customFormat="1" ht="16" x14ac:dyDescent="0.2">
      <c r="A35" s="20"/>
      <c r="B35" s="20"/>
      <c r="C35" s="39"/>
      <c r="D35" s="39"/>
      <c r="E35" s="20"/>
    </row>
    <row r="36" spans="1:5" customFormat="1" ht="16" x14ac:dyDescent="0.2">
      <c r="A36" s="20"/>
      <c r="B36" s="20"/>
      <c r="C36" s="39"/>
      <c r="D36" s="39"/>
      <c r="E36" s="20"/>
    </row>
    <row r="37" spans="1:5" customFormat="1" ht="16" x14ac:dyDescent="0.2">
      <c r="A37" s="20"/>
      <c r="B37" s="20"/>
      <c r="C37" s="39"/>
      <c r="D37" s="39"/>
      <c r="E37" s="20"/>
    </row>
    <row r="38" spans="1:5" customFormat="1" ht="16" x14ac:dyDescent="0.2">
      <c r="A38" s="20"/>
      <c r="B38" s="20"/>
      <c r="C38" s="39"/>
      <c r="D38" s="39"/>
      <c r="E38" s="20"/>
    </row>
    <row r="39" spans="1:5" customFormat="1" ht="16" x14ac:dyDescent="0.2">
      <c r="A39" s="20"/>
      <c r="B39" s="20"/>
      <c r="C39" s="39"/>
      <c r="D39" s="39"/>
      <c r="E39" s="20"/>
    </row>
    <row r="40" spans="1:5" customFormat="1" ht="16" x14ac:dyDescent="0.2">
      <c r="A40" s="20"/>
      <c r="B40" s="20"/>
      <c r="C40" s="39"/>
      <c r="D40" s="39"/>
      <c r="E40" s="20"/>
    </row>
    <row r="41" spans="1:5" customFormat="1" ht="16" x14ac:dyDescent="0.2">
      <c r="A41" s="20"/>
      <c r="B41" s="20"/>
      <c r="C41" s="39"/>
      <c r="D41" s="39"/>
      <c r="E41" s="20"/>
    </row>
    <row r="42" spans="1:5" customFormat="1" ht="16" x14ac:dyDescent="0.2">
      <c r="A42" s="20"/>
      <c r="B42" s="20"/>
      <c r="C42" s="39"/>
      <c r="D42" s="39"/>
      <c r="E42" s="20"/>
    </row>
    <row r="43" spans="1:5" customFormat="1" ht="16" x14ac:dyDescent="0.2">
      <c r="A43" s="20"/>
      <c r="B43" s="20"/>
      <c r="C43" s="39"/>
      <c r="D43" s="39"/>
      <c r="E43" s="20"/>
    </row>
    <row r="44" spans="1:5" customFormat="1" ht="16" x14ac:dyDescent="0.2">
      <c r="A44" s="20"/>
      <c r="B44" s="20"/>
      <c r="C44" s="39"/>
      <c r="D44" s="39"/>
      <c r="E44" s="20"/>
    </row>
    <row r="45" spans="1:5" customFormat="1" ht="16" x14ac:dyDescent="0.2">
      <c r="A45" s="20"/>
      <c r="B45" s="20"/>
      <c r="C45" s="39"/>
      <c r="D45" s="39"/>
      <c r="E45" s="20"/>
    </row>
    <row r="46" spans="1:5" customFormat="1" ht="16" x14ac:dyDescent="0.2">
      <c r="A46" s="20"/>
      <c r="B46" s="20"/>
      <c r="C46" s="39"/>
      <c r="D46" s="39"/>
      <c r="E46" s="20"/>
    </row>
    <row r="47" spans="1:5" customFormat="1" ht="16" x14ac:dyDescent="0.2">
      <c r="A47" s="20"/>
      <c r="B47" s="20"/>
      <c r="C47" s="39"/>
      <c r="D47" s="39"/>
      <c r="E47" s="20"/>
    </row>
    <row r="48" spans="1:5" customFormat="1" ht="16" x14ac:dyDescent="0.2">
      <c r="A48" s="20"/>
      <c r="B48" s="20"/>
      <c r="C48" s="39"/>
      <c r="D48" s="39"/>
      <c r="E48" s="20"/>
    </row>
    <row r="49" spans="1:5" customFormat="1" ht="16" x14ac:dyDescent="0.2">
      <c r="A49" s="20"/>
      <c r="B49" s="20"/>
      <c r="C49" s="39"/>
      <c r="D49" s="39"/>
      <c r="E49" s="20"/>
    </row>
    <row r="50" spans="1:5" customFormat="1" ht="16" x14ac:dyDescent="0.2">
      <c r="A50" s="20"/>
      <c r="B50" s="20"/>
      <c r="C50" s="39"/>
      <c r="D50" s="39"/>
      <c r="E50" s="20"/>
    </row>
    <row r="51" spans="1:5" customFormat="1" ht="16" x14ac:dyDescent="0.2">
      <c r="A51" s="20"/>
      <c r="B51" s="20"/>
      <c r="C51" s="39"/>
      <c r="D51" s="39"/>
      <c r="E51" s="20"/>
    </row>
    <row r="52" spans="1:5" customFormat="1" ht="16" x14ac:dyDescent="0.2">
      <c r="A52" s="20"/>
      <c r="B52" s="20"/>
      <c r="C52" s="39"/>
      <c r="D52" s="39"/>
      <c r="E52" s="20"/>
    </row>
    <row r="53" spans="1:5" customFormat="1" ht="16" x14ac:dyDescent="0.2">
      <c r="A53" s="20"/>
      <c r="B53" s="20"/>
      <c r="C53" s="39"/>
      <c r="D53" s="39"/>
      <c r="E53" s="20"/>
    </row>
    <row r="54" spans="1:5" customFormat="1" ht="16" x14ac:dyDescent="0.2">
      <c r="A54" s="20"/>
      <c r="B54" s="20"/>
      <c r="C54" s="39"/>
      <c r="D54" s="39"/>
      <c r="E54" s="20"/>
    </row>
    <row r="55" spans="1:5" customFormat="1" ht="16" x14ac:dyDescent="0.2">
      <c r="A55" s="20"/>
      <c r="B55" s="20"/>
      <c r="C55" s="39"/>
      <c r="D55" s="39"/>
      <c r="E55" s="20"/>
    </row>
    <row r="56" spans="1:5" customFormat="1" ht="16" x14ac:dyDescent="0.2">
      <c r="A56" s="20"/>
      <c r="B56" s="20"/>
      <c r="C56" s="39"/>
      <c r="D56" s="39"/>
      <c r="E56" s="20"/>
    </row>
    <row r="57" spans="1:5" customFormat="1" ht="16" x14ac:dyDescent="0.2">
      <c r="A57" s="20"/>
      <c r="B57" s="20"/>
      <c r="C57" s="39"/>
      <c r="D57" s="39"/>
      <c r="E57" s="20"/>
    </row>
    <row r="58" spans="1:5" customFormat="1" ht="16" x14ac:dyDescent="0.2">
      <c r="A58" s="20"/>
      <c r="B58" s="20"/>
      <c r="C58" s="39"/>
      <c r="D58" s="39"/>
      <c r="E58" s="20"/>
    </row>
    <row r="59" spans="1:5" customFormat="1" ht="16" x14ac:dyDescent="0.2">
      <c r="A59" s="20"/>
      <c r="B59" s="20"/>
      <c r="C59" s="39"/>
      <c r="D59" s="39"/>
      <c r="E59" s="20"/>
    </row>
    <row r="60" spans="1:5" customFormat="1" ht="16" x14ac:dyDescent="0.2">
      <c r="A60" s="20"/>
      <c r="B60" s="20"/>
      <c r="C60" s="39"/>
      <c r="D60" s="39"/>
      <c r="E60" s="20"/>
    </row>
    <row r="61" spans="1:5" customFormat="1" ht="16" x14ac:dyDescent="0.2">
      <c r="A61" s="20"/>
      <c r="B61" s="20"/>
      <c r="C61" s="39"/>
      <c r="D61" s="39"/>
      <c r="E61" s="20"/>
    </row>
    <row r="62" spans="1:5" customFormat="1" ht="16" x14ac:dyDescent="0.2">
      <c r="A62" s="20"/>
      <c r="B62" s="20"/>
      <c r="C62" s="39"/>
      <c r="D62" s="39"/>
      <c r="E62" s="20"/>
    </row>
    <row r="63" spans="1:5" customFormat="1" ht="16" x14ac:dyDescent="0.2">
      <c r="A63" s="20"/>
      <c r="B63" s="20"/>
      <c r="C63" s="39"/>
      <c r="D63" s="39"/>
      <c r="E63" s="20"/>
    </row>
    <row r="64" spans="1:5" customFormat="1" ht="16" x14ac:dyDescent="0.2">
      <c r="A64" s="20"/>
      <c r="B64" s="20"/>
      <c r="C64" s="39"/>
      <c r="D64" s="39"/>
      <c r="E64" s="20"/>
    </row>
    <row r="65" spans="1:5" customFormat="1" ht="16" x14ac:dyDescent="0.2">
      <c r="A65" s="20"/>
      <c r="B65" s="20"/>
      <c r="C65" s="39"/>
      <c r="D65" s="39"/>
      <c r="E65" s="20"/>
    </row>
    <row r="66" spans="1:5" customFormat="1" ht="16" x14ac:dyDescent="0.2">
      <c r="A66" s="20"/>
      <c r="B66" s="20"/>
      <c r="C66" s="39"/>
      <c r="D66" s="39"/>
      <c r="E66" s="20"/>
    </row>
    <row r="67" spans="1:5" customFormat="1" ht="16" x14ac:dyDescent="0.2">
      <c r="A67" s="20"/>
      <c r="B67" s="20"/>
      <c r="C67" s="39"/>
      <c r="D67" s="39"/>
      <c r="E67" s="20"/>
    </row>
    <row r="68" spans="1:5" customFormat="1" ht="16" x14ac:dyDescent="0.2">
      <c r="A68" s="20"/>
      <c r="B68" s="20"/>
      <c r="C68" s="39"/>
      <c r="D68" s="39"/>
      <c r="E68" s="20"/>
    </row>
    <row r="69" spans="1:5" customFormat="1" ht="16" x14ac:dyDescent="0.2">
      <c r="A69" s="20"/>
      <c r="B69" s="20"/>
      <c r="C69" s="39"/>
      <c r="D69" s="39"/>
      <c r="E69" s="20"/>
    </row>
    <row r="70" spans="1:5" customFormat="1" ht="16" x14ac:dyDescent="0.2">
      <c r="A70" s="20"/>
      <c r="B70" s="20"/>
      <c r="C70" s="39"/>
      <c r="D70" s="39"/>
      <c r="E70" s="20"/>
    </row>
    <row r="71" spans="1:5" ht="16" x14ac:dyDescent="0.2">
      <c r="A71" s="20"/>
      <c r="B71" s="20"/>
      <c r="C71" s="39"/>
      <c r="D71" s="39"/>
    </row>
    <row r="72" spans="1:5" ht="16" x14ac:dyDescent="0.2">
      <c r="A72" s="20"/>
      <c r="B72" s="20"/>
      <c r="C72" s="39"/>
      <c r="D72" s="39"/>
    </row>
    <row r="73" spans="1:5" ht="16" x14ac:dyDescent="0.2">
      <c r="A73" s="20"/>
      <c r="B73" s="20"/>
      <c r="C73" s="39"/>
      <c r="D73" s="39"/>
    </row>
    <row r="74" spans="1:5" ht="16" x14ac:dyDescent="0.2">
      <c r="A74" s="20"/>
      <c r="B74" s="20"/>
      <c r="C74" s="39"/>
      <c r="D74" s="3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22"/>
  <sheetViews>
    <sheetView showGridLines="0" zoomScale="50" zoomScaleNormal="50" zoomScaleSheetLayoutView="30" zoomScalePageLayoutView="50" workbookViewId="0">
      <selection activeCell="B8" sqref="B8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6.83203125" style="1" customWidth="1"/>
    <col min="4" max="4" width="56.1640625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4" t="s">
        <v>0</v>
      </c>
      <c r="B3" s="69">
        <v>46119</v>
      </c>
    </row>
    <row r="4" spans="1:14" s="17" customFormat="1" ht="50" customHeight="1" x14ac:dyDescent="0.2">
      <c r="A4" s="101"/>
      <c r="B4" s="102"/>
      <c r="C4" s="1"/>
      <c r="D4"/>
    </row>
    <row r="5" spans="1:14" s="17" customFormat="1" ht="50" customHeight="1" x14ac:dyDescent="0.2">
      <c r="A5" s="53" t="s">
        <v>46</v>
      </c>
      <c r="B5" s="54" t="s">
        <v>3</v>
      </c>
      <c r="C5" s="54" t="s">
        <v>51</v>
      </c>
      <c r="D5" s="54" t="s">
        <v>52</v>
      </c>
      <c r="E5" s="18"/>
      <c r="F5" s="18"/>
      <c r="G5" s="18"/>
      <c r="H5" s="18"/>
      <c r="I5" s="18"/>
      <c r="J5" s="18"/>
      <c r="K5" s="18"/>
      <c r="L5" s="18"/>
      <c r="M5" s="18"/>
      <c r="N5" s="18"/>
    </row>
    <row r="6" spans="1:14" s="18" customFormat="1" ht="50" customHeight="1" x14ac:dyDescent="0.2">
      <c r="A6" s="55" t="s">
        <v>45</v>
      </c>
      <c r="B6" s="56" t="s">
        <v>7</v>
      </c>
      <c r="C6" s="60" t="s">
        <v>48</v>
      </c>
      <c r="D6" s="60" t="s">
        <v>49</v>
      </c>
      <c r="E6" s="19"/>
      <c r="F6" s="19"/>
      <c r="G6" s="19"/>
      <c r="H6" s="19"/>
      <c r="I6" s="17"/>
      <c r="J6" s="19"/>
      <c r="K6" s="19"/>
      <c r="L6" s="19"/>
      <c r="M6" s="19"/>
      <c r="N6" s="19"/>
    </row>
    <row r="7" spans="1:14" s="18" customFormat="1" ht="50" customHeight="1" x14ac:dyDescent="0.2">
      <c r="A7" s="73" t="s">
        <v>86</v>
      </c>
      <c r="B7" s="33" t="s">
        <v>22</v>
      </c>
      <c r="C7" s="72">
        <f ca="1">IFERROR(
   COUNTIF(INDIRECT("'" &amp; LOOKUP("zzz",$A$7:A7) &amp; "'!C:C"), B7),
   0
)</f>
        <v>0</v>
      </c>
      <c r="D7" s="78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9"/>
      <c r="F7" s="19"/>
      <c r="G7" s="19"/>
      <c r="H7" s="19"/>
      <c r="I7" s="17"/>
      <c r="J7" s="19"/>
      <c r="K7" s="19"/>
      <c r="L7" s="19"/>
      <c r="M7" s="19"/>
      <c r="N7" s="19"/>
    </row>
    <row r="8" spans="1:14" s="17" customFormat="1" ht="50" customHeight="1" x14ac:dyDescent="0.2">
      <c r="A8" s="32"/>
      <c r="B8" s="33" t="s">
        <v>60</v>
      </c>
      <c r="C8" s="72">
        <f ca="1">IFERROR(
   COUNTIF(INDIRECT("'" &amp; LOOKUP("zzz",$A$7:A8) &amp; "'!C:C"), B8),
   0
)</f>
        <v>0</v>
      </c>
      <c r="D8" s="78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</row>
    <row r="9" spans="1:14" s="17" customFormat="1" ht="50" customHeight="1" x14ac:dyDescent="0.2">
      <c r="A9" s="32"/>
      <c r="B9" s="33" t="s">
        <v>61</v>
      </c>
      <c r="C9" s="72">
        <f ca="1">IFERROR(
   COUNTIF(INDIRECT("'" &amp; LOOKUP("zzz",$A$7:A9) &amp; "'!C:C"), B9),
   0
)</f>
        <v>0</v>
      </c>
      <c r="D9" s="78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7" customFormat="1" ht="50" customHeight="1" x14ac:dyDescent="0.2">
      <c r="A10" s="32"/>
      <c r="B10" s="33" t="s">
        <v>166</v>
      </c>
      <c r="C10" s="72">
        <f ca="1">IFERROR(
   COUNTIF(INDIRECT("'" &amp; LOOKUP("zzz",$A$7:A10) &amp; "'!C:C"), B10),
   0
)</f>
        <v>0</v>
      </c>
      <c r="D10" s="78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7" customFormat="1" ht="50" customHeight="1" x14ac:dyDescent="0.2">
      <c r="A11" s="32"/>
      <c r="B11" s="33" t="s">
        <v>62</v>
      </c>
      <c r="C11" s="72">
        <f ca="1">IFERROR(
   COUNTIF(INDIRECT("'" &amp; LOOKUP("zzz",$A$7:A11) &amp; "'!C:C"), B11),
   0
)</f>
        <v>0</v>
      </c>
      <c r="D11" s="78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7" customFormat="1" ht="50" customHeight="1" x14ac:dyDescent="0.2">
      <c r="A12" s="32"/>
      <c r="B12" s="33" t="s">
        <v>42</v>
      </c>
      <c r="C12" s="72">
        <f ca="1">IFERROR(
   COUNTIF(INDIRECT("'" &amp; LOOKUP("zzz",$A$7:A12) &amp; "'!C:C"), B12),
   0
)</f>
        <v>0</v>
      </c>
      <c r="D12" s="78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7" customFormat="1" ht="50" customHeight="1" x14ac:dyDescent="0.2">
      <c r="A13" s="32"/>
      <c r="B13" s="33" t="s">
        <v>19</v>
      </c>
      <c r="C13" s="72">
        <f ca="1">IFERROR(
   COUNTIF(INDIRECT("'" &amp; LOOKUP("zzz",$A$7:A13) &amp; "'!C:C"), B13),
   0
)</f>
        <v>0</v>
      </c>
      <c r="D13" s="78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36" customFormat="1" ht="50" customHeight="1" x14ac:dyDescent="0.2">
      <c r="A14" s="32"/>
      <c r="B14" s="33" t="s">
        <v>10</v>
      </c>
      <c r="C14" s="72">
        <f ca="1">IFERROR(
   COUNTIF(INDIRECT("'" &amp; LOOKUP("zzz",$A$7:A14) &amp; "'!C:C"), B14),
   0
)</f>
        <v>0</v>
      </c>
      <c r="D14" s="78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ht="50" customHeight="1" x14ac:dyDescent="0.2">
      <c r="A15" s="30"/>
      <c r="B15" s="31" t="s">
        <v>14</v>
      </c>
      <c r="C15" s="30">
        <f ca="1">IFERROR(
   COUNTIF(INDIRECT("'" &amp; LOOKUP("zzz",$A$7:A15) &amp; "'!C:C"), B15),
   0
)</f>
        <v>0</v>
      </c>
      <c r="D15" s="92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ht="50" customHeight="1" x14ac:dyDescent="0.2">
      <c r="A16" s="62" t="s">
        <v>85</v>
      </c>
      <c r="B16" s="33" t="s">
        <v>64</v>
      </c>
      <c r="C16" s="28">
        <f ca="1">IFERROR(
   COUNTIF(INDIRECT("'" &amp; LOOKUP("zzz",$A$7:A16) &amp; "'!C:C"), B16),
   0
)</f>
        <v>0</v>
      </c>
      <c r="D16" s="93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ht="50" customHeight="1" x14ac:dyDescent="0.2">
      <c r="A17" s="62"/>
      <c r="B17" s="33" t="s">
        <v>26</v>
      </c>
      <c r="C17" s="28">
        <f ca="1">IFERROR(
   COUNTIF(INDIRECT("'" &amp; LOOKUP("zzz",$A$7:A17) &amp; "'!C:C"), B17),
   0
)</f>
        <v>0</v>
      </c>
      <c r="D17" s="78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ht="50" customHeight="1" x14ac:dyDescent="0.2">
      <c r="A18" s="35"/>
      <c r="B18" s="33" t="s">
        <v>20</v>
      </c>
      <c r="C18" s="28">
        <f ca="1">IFERROR(
   COUNTIF(INDIRECT("'" &amp; LOOKUP("zzz",$A$7:A18) &amp; "'!C:C"), B18),
   0
)</f>
        <v>0</v>
      </c>
      <c r="D18" s="78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ht="50" customHeight="1" x14ac:dyDescent="0.2">
      <c r="A19" s="35"/>
      <c r="B19" s="33" t="s">
        <v>25</v>
      </c>
      <c r="C19" s="28">
        <f ca="1">IFERROR(
   COUNTIF(INDIRECT("'" &amp; LOOKUP("zzz",$A$7:A19) &amp; "'!C:C"), B19),
   0
)</f>
        <v>0</v>
      </c>
      <c r="D19" s="78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ht="50" customHeight="1" x14ac:dyDescent="0.2">
      <c r="A20" s="70"/>
      <c r="B20" s="47" t="s">
        <v>65</v>
      </c>
      <c r="C20" s="28">
        <f ca="1">IFERROR(
   COUNTIF(INDIRECT("'" &amp; LOOKUP("zzz",$A$7:A20) &amp; "'!C:C"), B20),
   0
)</f>
        <v>0</v>
      </c>
      <c r="D20" s="78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ht="50" customHeight="1" x14ac:dyDescent="0.2">
      <c r="A21" s="70"/>
      <c r="B21" s="47" t="s">
        <v>155</v>
      </c>
      <c r="C21" s="28">
        <f ca="1">IFERROR(
   COUNTIF(INDIRECT("'" &amp; LOOKUP("zzz",$A$7:A21) &amp; "'!C:C"), B21),
   0
)</f>
        <v>0</v>
      </c>
      <c r="D21" s="78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ht="50" customHeight="1" x14ac:dyDescent="0.2">
      <c r="A22" s="70"/>
      <c r="B22" s="47" t="s">
        <v>31</v>
      </c>
      <c r="C22" s="28">
        <f ca="1">IFERROR(
   COUNTIF(INDIRECT("'" &amp; LOOKUP("zzz",$A$7:A22) &amp; "'!C:C"), B22),
   0
)</f>
        <v>0</v>
      </c>
      <c r="D22" s="78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ht="50" customHeight="1" x14ac:dyDescent="0.2">
      <c r="A23" s="70"/>
      <c r="B23" s="47" t="s">
        <v>21</v>
      </c>
      <c r="C23" s="28">
        <f ca="1">IFERROR(
   COUNTIF(INDIRECT("'" &amp; LOOKUP("zzz",$A$7:A23) &amp; "'!C:C"), B23),
   0
)</f>
        <v>0</v>
      </c>
      <c r="D23" s="78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customFormat="1" ht="50" customHeight="1" x14ac:dyDescent="0.2">
      <c r="A24" s="68"/>
      <c r="B24" s="31" t="s">
        <v>58</v>
      </c>
      <c r="C24" s="30">
        <f ca="1">IFERROR(
   COUNTIF(INDIRECT("'" &amp; LOOKUP("zzz",$A$7:A24) &amp; "'!C:C"), B24),
   0
)</f>
        <v>0</v>
      </c>
      <c r="D24" s="92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customFormat="1" ht="50" customHeight="1" x14ac:dyDescent="0.2">
      <c r="A25" s="62" t="s">
        <v>56</v>
      </c>
      <c r="B25" s="33" t="s">
        <v>74</v>
      </c>
      <c r="C25" s="28">
        <f ca="1">IFERROR(
   COUNTIF(INDIRECT("'" &amp; LOOKUP("zzz",$A$7:A25) &amp; "'!C:C"), B25),
   0
)</f>
        <v>0</v>
      </c>
      <c r="D25" s="93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customFormat="1" ht="50" customHeight="1" x14ac:dyDescent="0.2">
      <c r="A26" s="32"/>
      <c r="B26" s="33" t="s">
        <v>59</v>
      </c>
      <c r="C26" s="28">
        <f ca="1">IFERROR(
   COUNTIF(INDIRECT("'" &amp; LOOKUP("zzz",$A$7:A26) &amp; "'!C:C"), B26),
   0
)</f>
        <v>0</v>
      </c>
      <c r="D26" s="78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customFormat="1" ht="50" customHeight="1" x14ac:dyDescent="0.2">
      <c r="A27" s="32"/>
      <c r="B27" s="33" t="s">
        <v>41</v>
      </c>
      <c r="C27" s="28">
        <f ca="1">IFERROR(
   COUNTIF(INDIRECT("'" &amp; LOOKUP("zzz",$A$7:A27) &amp; "'!C:C"), B27),
   0
)</f>
        <v>0</v>
      </c>
      <c r="D27" s="78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customFormat="1" ht="50" customHeight="1" x14ac:dyDescent="0.2">
      <c r="A28" s="32"/>
      <c r="B28" s="33" t="s">
        <v>36</v>
      </c>
      <c r="C28" s="28">
        <f ca="1">IFERROR(
   COUNTIF(INDIRECT("'" &amp; LOOKUP("zzz",$A$7:A28) &amp; "'!C:C"), B28),
   0
)</f>
        <v>0</v>
      </c>
      <c r="D28" s="78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customFormat="1" ht="50" customHeight="1" x14ac:dyDescent="0.2">
      <c r="A29" s="32"/>
      <c r="B29" s="33" t="s">
        <v>81</v>
      </c>
      <c r="C29" s="28">
        <f ca="1">IFERROR(
   COUNTIF(INDIRECT("'" &amp; LOOKUP("zzz",$A$7:A29) &amp; "'!C:C"), B29),
   0
)</f>
        <v>0</v>
      </c>
      <c r="D29" s="78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customFormat="1" ht="50" customHeight="1" x14ac:dyDescent="0.2">
      <c r="A30" s="42"/>
      <c r="B30" s="47" t="s">
        <v>158</v>
      </c>
      <c r="C30" s="28">
        <f ca="1">IFERROR(
   COUNTIF(INDIRECT("'" &amp; LOOKUP("zzz",$A$7:A30) &amp; "'!C:C"), B30),
   0
)</f>
        <v>0</v>
      </c>
      <c r="D30" s="78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customFormat="1" ht="50" customHeight="1" x14ac:dyDescent="0.2">
      <c r="A31" s="42"/>
      <c r="B31" s="47" t="s">
        <v>84</v>
      </c>
      <c r="C31" s="28">
        <f ca="1">IFERROR(
   COUNTIF(INDIRECT("'" &amp; LOOKUP("zzz",$A$7:A31) &amp; "'!C:C"), B31),
   0
)</f>
        <v>0</v>
      </c>
      <c r="D31" s="78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customFormat="1" ht="50" customHeight="1" x14ac:dyDescent="0.2">
      <c r="A32" s="42"/>
      <c r="B32" s="47" t="s">
        <v>43</v>
      </c>
      <c r="C32" s="30">
        <f ca="1">IFERROR(
   COUNTIF(INDIRECT("'" &amp; LOOKUP("zzz",$A$7:A32) &amp; "'!C:C"), B32),
   0
)</f>
        <v>0</v>
      </c>
      <c r="D32" s="92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customFormat="1" ht="50" customHeight="1" x14ac:dyDescent="0.2">
      <c r="A33" s="74" t="s">
        <v>44</v>
      </c>
      <c r="B33" s="50" t="s">
        <v>75</v>
      </c>
      <c r="C33" s="51">
        <f ca="1">IFERROR(
   COUNTIF(INDIRECT("'" &amp; LOOKUP("zzz",$A$7:A33) &amp; "'!C:C"), B33),
   0
)</f>
        <v>0</v>
      </c>
      <c r="D33" s="93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customFormat="1" ht="50" customHeight="1" x14ac:dyDescent="0.2">
      <c r="A34" s="75"/>
      <c r="B34" s="29" t="s">
        <v>76</v>
      </c>
      <c r="C34" s="32">
        <f ca="1">IFERROR(
   COUNTIF(INDIRECT("'" &amp; LOOKUP("zzz",$A$7:A34) &amp; "'!C:C"), B34),
   0
)</f>
        <v>0</v>
      </c>
      <c r="D34" s="78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customFormat="1" ht="50" customHeight="1" x14ac:dyDescent="0.2">
      <c r="A35" s="75"/>
      <c r="B35" s="29" t="s">
        <v>165</v>
      </c>
      <c r="C35" s="32">
        <f ca="1">IFERROR(
   COUNTIF(INDIRECT("'" &amp; LOOKUP("zzz",$A$7:A35) &amp; "'!C:C"), B35),
   0
)</f>
        <v>0</v>
      </c>
      <c r="D35" s="78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customFormat="1" ht="50" customHeight="1" x14ac:dyDescent="0.2">
      <c r="A36" s="75"/>
      <c r="B36" s="29" t="s">
        <v>16</v>
      </c>
      <c r="C36" s="32">
        <f ca="1">IFERROR(
   COUNTIF(INDIRECT("'" &amp; LOOKUP("zzz",$A$7:A36) &amp; "'!C:C"), B36),
   0
)</f>
        <v>0</v>
      </c>
      <c r="D36" s="78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32"/>
      <c r="B37" s="33" t="s">
        <v>35</v>
      </c>
      <c r="C37" s="32">
        <f ca="1">IFERROR(
   COUNTIF(INDIRECT("'" &amp; LOOKUP("zzz",$A$7:A37) &amp; "'!C:C"), B37),
   0
)</f>
        <v>0</v>
      </c>
      <c r="D37" s="78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2"/>
      <c r="B38" s="33" t="s">
        <v>77</v>
      </c>
      <c r="C38" s="32">
        <f ca="1">IFERROR(
   COUNTIF(INDIRECT("'" &amp; LOOKUP("zzz",$A$7:A38) &amp; "'!C:C"), B38),
   0
)</f>
        <v>0</v>
      </c>
      <c r="D38" s="78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32"/>
      <c r="B39" s="33" t="s">
        <v>37</v>
      </c>
      <c r="C39" s="32">
        <f ca="1">IFERROR(
   COUNTIF(INDIRECT("'" &amp; LOOKUP("zzz",$A$7:A39) &amp; "'!C:C"), B39),
   0
)</f>
        <v>0</v>
      </c>
      <c r="D39" s="78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85"/>
      <c r="B40" s="80" t="s">
        <v>15</v>
      </c>
      <c r="C40" s="30">
        <f ca="1">IFERROR(
   COUNTIF(INDIRECT("'" &amp; LOOKUP("zzz",$A$7:A40) &amp; "'!C:C"), B40),
   0
)</f>
        <v>0</v>
      </c>
      <c r="D40" s="92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89" t="s">
        <v>93</v>
      </c>
      <c r="B41" s="88" t="s">
        <v>138</v>
      </c>
      <c r="C41" s="87">
        <f ca="1">IFERROR(
   COUNTIF(INDIRECT("'" &amp; LOOKUP("zzz",$A$7:A41) &amp; "'!C:C"), B41),
   0
)</f>
        <v>0</v>
      </c>
      <c r="D41" s="93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35"/>
      <c r="B42" s="33" t="s">
        <v>137</v>
      </c>
      <c r="C42" s="32">
        <f ca="1">IFERROR(
   COUNTIF(INDIRECT("'" &amp; LOOKUP("zzz",$A$7:A42) &amp; "'!C:C"), B42),
   0
)</f>
        <v>0</v>
      </c>
      <c r="D42" s="78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78"/>
      <c r="B43" s="33" t="s">
        <v>136</v>
      </c>
      <c r="C43" s="32">
        <f ca="1">IFERROR(
   COUNTIF(INDIRECT("'" &amp; LOOKUP("zzz",$A$7:A43) &amp; "'!C:C"), B43),
   0
)</f>
        <v>0</v>
      </c>
      <c r="D43" s="78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s="17" customFormat="1" ht="50" customHeight="1" x14ac:dyDescent="0.2">
      <c r="A44" s="32"/>
      <c r="B44" s="33" t="s">
        <v>63</v>
      </c>
      <c r="C44" s="32">
        <f ca="1">IFERROR(
   COUNTIF(INDIRECT("'" &amp; LOOKUP("zzz",$A$7:A44) &amp; "'!C:C"), B44),
   0
)</f>
        <v>0</v>
      </c>
      <c r="D44" s="78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32"/>
      <c r="B45" s="33" t="s">
        <v>135</v>
      </c>
      <c r="C45" s="32">
        <f ca="1">IFERROR(
   COUNTIF(INDIRECT("'" &amp; LOOKUP("zzz",$A$7:A45) &amp; "'!C:C"), B45),
   0
)</f>
        <v>0</v>
      </c>
      <c r="D45" s="78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32"/>
      <c r="B46" s="33" t="s">
        <v>134</v>
      </c>
      <c r="C46" s="32">
        <f ca="1">IFERROR(
   COUNTIF(INDIRECT("'" &amp; LOOKUP("zzz",$A$7:A46) &amp; "'!C:C"), B46),
   0
)</f>
        <v>0</v>
      </c>
      <c r="D46" s="78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85"/>
      <c r="B47" s="80" t="s">
        <v>133</v>
      </c>
      <c r="C47" s="85">
        <f ca="1">IFERROR(
   COUNTIF(INDIRECT("'" &amp; LOOKUP("zzz",$A$7:A47) &amp; "'!C:C"), B47),
   0
)</f>
        <v>0</v>
      </c>
      <c r="D47" s="92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62" t="s">
        <v>92</v>
      </c>
      <c r="B48" s="33" t="s">
        <v>132</v>
      </c>
      <c r="C48" s="32">
        <f ca="1">IFERROR(
   COUNTIF(INDIRECT("'" &amp; LOOKUP("zzz",$A$7:A48) &amp; "'!C:C"), B48),
   0
)</f>
        <v>0</v>
      </c>
      <c r="D48" s="93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62"/>
      <c r="B49" s="33" t="s">
        <v>131</v>
      </c>
      <c r="C49" s="32">
        <f ca="1">IFERROR(
   COUNTIF(INDIRECT("'" &amp; LOOKUP("zzz",$A$7:A49) &amp; "'!C:C"), B49),
   0
)</f>
        <v>0</v>
      </c>
      <c r="D49" s="78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62"/>
      <c r="B50" s="33" t="s">
        <v>130</v>
      </c>
      <c r="C50" s="32">
        <f ca="1">IFERROR(
   COUNTIF(INDIRECT("'" &amp; LOOKUP("zzz",$A$7:A50) &amp; "'!C:C"), B50),
   0
)</f>
        <v>0</v>
      </c>
      <c r="D50" s="78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5"/>
      <c r="B51" s="33" t="s">
        <v>129</v>
      </c>
      <c r="C51" s="32">
        <f ca="1">IFERROR(
   COUNTIF(INDIRECT("'" &amp; LOOKUP("zzz",$A$7:A51) &amp; "'!C:C"), B51),
   0
)</f>
        <v>0</v>
      </c>
      <c r="D51" s="78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35"/>
      <c r="B52" s="33" t="s">
        <v>128</v>
      </c>
      <c r="C52" s="32">
        <f ca="1">IFERROR(
   COUNTIF(INDIRECT("'" &amp; LOOKUP("zzz",$A$7:A52) &amp; "'!C:C"), B52),
   0
)</f>
        <v>0</v>
      </c>
      <c r="D52" s="78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70"/>
      <c r="B53" s="47" t="s">
        <v>127</v>
      </c>
      <c r="C53" s="32">
        <f ca="1">IFERROR(
   COUNTIF(INDIRECT("'" &amp; LOOKUP("zzz",$A$7:A53) &amp; "'!C:C"), B53),
   0
)</f>
        <v>0</v>
      </c>
      <c r="D53" s="78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86"/>
      <c r="B54" s="80" t="s">
        <v>126</v>
      </c>
      <c r="C54" s="85">
        <f ca="1">IFERROR(
   COUNTIF(INDIRECT("'" &amp; LOOKUP("zzz",$A$7:A54) &amp; "'!C:C"), B54),
   0
)</f>
        <v>0</v>
      </c>
      <c r="D54" s="92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62" t="s">
        <v>91</v>
      </c>
      <c r="B55" s="33" t="s">
        <v>125</v>
      </c>
      <c r="C55" s="32">
        <f ca="1">IFERROR(
   COUNTIF(INDIRECT("'" &amp; LOOKUP("zzz",$A$7:A55) &amp; "'!C:C"), B55),
   0
)</f>
        <v>0</v>
      </c>
      <c r="D55" s="93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67"/>
      <c r="B56" s="33" t="s">
        <v>124</v>
      </c>
      <c r="C56" s="32">
        <f ca="1">IFERROR(
   COUNTIF(INDIRECT("'" &amp; LOOKUP("zzz",$A$7:A56) &amp; "'!C:C"), B56),
   0
)</f>
        <v>0</v>
      </c>
      <c r="D56" s="78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67"/>
      <c r="B57" s="33" t="s">
        <v>123</v>
      </c>
      <c r="C57" s="32">
        <f ca="1">IFERROR(
   COUNTIF(INDIRECT("'" &amp; LOOKUP("zzz",$A$7:A57) &amp; "'!C:C"), B57),
   0
)</f>
        <v>0</v>
      </c>
      <c r="D57" s="78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67"/>
      <c r="B58" s="33" t="s">
        <v>157</v>
      </c>
      <c r="C58" s="32">
        <f ca="1">IFERROR(
   COUNTIF(INDIRECT("'" &amp; LOOKUP("zzz",$A$7:A58) &amp; "'!C:C"), B58),
   0
)</f>
        <v>0</v>
      </c>
      <c r="D58" s="78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32"/>
      <c r="B59" s="33" t="s">
        <v>121</v>
      </c>
      <c r="C59" s="32">
        <f ca="1">IFERROR(
   COUNTIF(INDIRECT("'" &amp; LOOKUP("zzz",$A$7:A59) &amp; "'!C:C"), B59),
   0
)</f>
        <v>0</v>
      </c>
      <c r="D59" s="78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30"/>
      <c r="B60" s="31" t="s">
        <v>120</v>
      </c>
      <c r="C60" s="30">
        <f ca="1">IFERROR(
   COUNTIF(INDIRECT("'" &amp; LOOKUP("zzz",$A$7:A60) &amp; "'!C:C"), B60),
   0
)</f>
        <v>0</v>
      </c>
      <c r="D60" s="92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76" t="s">
        <v>53</v>
      </c>
      <c r="B61" s="50" t="s">
        <v>13</v>
      </c>
      <c r="C61" s="51">
        <f ca="1">IFERROR(
   COUNTIF(INDIRECT("'" &amp; LOOKUP("zzz",$A$7:A61) &amp; "'!C:C"), B61),
   0
)</f>
        <v>0</v>
      </c>
      <c r="D61" s="93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67"/>
      <c r="B62" s="33" t="s">
        <v>66</v>
      </c>
      <c r="C62" s="32">
        <f ca="1">IFERROR(
   COUNTIF(INDIRECT("'" &amp; LOOKUP("zzz",$A$7:A62) &amp; "'!C:C"), B62),
   0
)</f>
        <v>0</v>
      </c>
      <c r="D62" s="78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67"/>
      <c r="B63" s="33" t="s">
        <v>156</v>
      </c>
      <c r="C63" s="32">
        <f ca="1">IFERROR(
   COUNTIF(INDIRECT("'" &amp; LOOKUP("zzz",$A$7:A63) &amp; "'!C:C"), B63),
   0
)</f>
        <v>0</v>
      </c>
      <c r="D63" s="78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67"/>
      <c r="B64" s="33" t="s">
        <v>32</v>
      </c>
      <c r="C64" s="32">
        <f ca="1">IFERROR(
   COUNTIF(INDIRECT("'" &amp; LOOKUP("zzz",$A$7:A64) &amp; "'!C:C"), B64),
   0
)</f>
        <v>0</v>
      </c>
      <c r="D64" s="78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15" customFormat="1" ht="50" customHeight="1" x14ac:dyDescent="0.2">
      <c r="A65" s="67"/>
      <c r="B65" s="33" t="s">
        <v>33</v>
      </c>
      <c r="C65" s="32">
        <f ca="1">IFERROR(
   COUNTIF(INDIRECT("'" &amp; LOOKUP("zzz",$A$7:A65) &amp; "'!C:C"), B65),
   0
)</f>
        <v>0</v>
      </c>
      <c r="D65" s="78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15" customFormat="1" ht="50" customHeight="1" x14ac:dyDescent="0.2">
      <c r="A66" s="32"/>
      <c r="B66" s="33" t="s">
        <v>34</v>
      </c>
      <c r="C66" s="32">
        <f ca="1">IFERROR(
   COUNTIF(INDIRECT("'" &amp; LOOKUP("zzz",$A$7:A66) &amp; "'!C:C"), B66),
   0
)</f>
        <v>0</v>
      </c>
      <c r="D66" s="78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15" customFormat="1" ht="50" customHeight="1" x14ac:dyDescent="0.2">
      <c r="A67" s="42"/>
      <c r="B67" s="47" t="s">
        <v>82</v>
      </c>
      <c r="C67" s="32">
        <f ca="1">IFERROR(
   COUNTIF(INDIRECT("'" &amp; LOOKUP("zzz",$A$7:A67) &amp; "'!C:C"), B67),
   0
)</f>
        <v>0</v>
      </c>
      <c r="D67" s="78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15" customFormat="1" ht="50" customHeight="1" x14ac:dyDescent="0.2">
      <c r="A68" s="32"/>
      <c r="B68" s="33" t="s">
        <v>11</v>
      </c>
      <c r="C68" s="32">
        <f ca="1">IFERROR(
   COUNTIF(INDIRECT("'" &amp; LOOKUP("zzz",$A$7:A68) &amp; "'!C:C"), B68),
   0
)</f>
        <v>0</v>
      </c>
      <c r="D68" s="92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15" customFormat="1" ht="50" customHeight="1" x14ac:dyDescent="0.2">
      <c r="A69" s="98"/>
      <c r="B69" s="99" t="s">
        <v>18</v>
      </c>
      <c r="C69" s="98">
        <f ca="1">IFERROR(
   COUNTIF(INDIRECT("'" &amp; LOOKUP("zzz",$A$7:A69) &amp; "'!C:C"), B69),
   0
)</f>
        <v>0</v>
      </c>
      <c r="D69" s="92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</row>
    <row r="70" spans="1:15" customFormat="1" ht="50" customHeight="1" x14ac:dyDescent="0.2">
      <c r="A70" s="76" t="s">
        <v>54</v>
      </c>
      <c r="B70" s="50" t="s">
        <v>23</v>
      </c>
      <c r="C70" s="51">
        <f ca="1">IFERROR(
   COUNTIF(INDIRECT("'" &amp; LOOKUP("zzz",$A$7:A70) &amp; "'!C:C"), B70),
   0
)</f>
        <v>0</v>
      </c>
      <c r="D70" s="93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15" customFormat="1" ht="50" customHeight="1" x14ac:dyDescent="0.2">
      <c r="A71" s="32"/>
      <c r="B71" s="33" t="s">
        <v>24</v>
      </c>
      <c r="C71" s="32">
        <f ca="1">IFERROR(
   COUNTIF(INDIRECT("'" &amp; LOOKUP("zzz",$A$7:A71) &amp; "'!C:C"), B71),
   0
)</f>
        <v>0</v>
      </c>
      <c r="D71" s="78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15" customFormat="1" ht="50" customHeight="1" x14ac:dyDescent="0.2">
      <c r="A72" s="32"/>
      <c r="B72" s="33" t="s">
        <v>163</v>
      </c>
      <c r="C72" s="32">
        <f ca="1">IFERROR(
   COUNTIF(INDIRECT("'" &amp; LOOKUP("zzz",$A$7:A72) &amp; "'!C:C"), B72),
   0
)</f>
        <v>0</v>
      </c>
      <c r="D72" s="78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15" customFormat="1" ht="50" customHeight="1" x14ac:dyDescent="0.2">
      <c r="A73" s="32"/>
      <c r="B73" s="33" t="s">
        <v>17</v>
      </c>
      <c r="C73" s="32">
        <f ca="1">IFERROR(
   COUNTIF(INDIRECT("'" &amp; LOOKUP("zzz",$A$7:A73) &amp; "'!C:C"), B73),
   0
)</f>
        <v>0</v>
      </c>
      <c r="D73" s="78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15" customFormat="1" ht="50" customHeight="1" x14ac:dyDescent="0.2">
      <c r="A74" s="32"/>
      <c r="B74" s="33" t="s">
        <v>12</v>
      </c>
      <c r="C74" s="32">
        <f ca="1">IFERROR(
   COUNTIF(INDIRECT("'" &amp; LOOKUP("zzz",$A$7:A74) &amp; "'!C:C"), B74),
   0
)</f>
        <v>0</v>
      </c>
      <c r="D74" s="78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15" customFormat="1" ht="50" customHeight="1" x14ac:dyDescent="0.2">
      <c r="A75" s="32"/>
      <c r="B75" s="100" t="s">
        <v>161</v>
      </c>
      <c r="C75" s="32">
        <f ca="1">IFERROR(
   COUNTIF(INDIRECT("'" &amp; LOOKUP("zzz",$A$7:A75) &amp; "'!C:C"), B75),
   0
)</f>
        <v>0</v>
      </c>
      <c r="D75" s="78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15" ht="50" customHeight="1" x14ac:dyDescent="0.2">
      <c r="A76" s="32"/>
      <c r="B76" s="33" t="s">
        <v>73</v>
      </c>
      <c r="C76" s="32">
        <f ca="1">IFERROR(
   COUNTIF(INDIRECT("'" &amp; LOOKUP("zzz",$A$7:A76) &amp; "'!C:C"), B76),
   0
)</f>
        <v>0</v>
      </c>
      <c r="D76" s="92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15" customFormat="1" ht="50" customHeight="1" x14ac:dyDescent="0.2">
      <c r="A77" s="28"/>
      <c r="B77" s="29" t="s">
        <v>39</v>
      </c>
      <c r="C77" s="28">
        <f ca="1">IFERROR(
   COUNTIF(INDIRECT("'" &amp; LOOKUP("zzz",$A$7:A77) &amp; "'!C:C"), B77),
   0
)</f>
        <v>0</v>
      </c>
      <c r="D77" s="78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15" customFormat="1" ht="50" customHeight="1" x14ac:dyDescent="0.2">
      <c r="A78" s="77" t="s">
        <v>55</v>
      </c>
      <c r="B78" s="48" t="s">
        <v>68</v>
      </c>
      <c r="C78" s="49">
        <f ca="1">IFERROR(
   COUNTIF(INDIRECT("'" &amp; LOOKUP("zzz",$A$7:A78) &amp; "'!C:C"), B78),
   0
)</f>
        <v>0</v>
      </c>
      <c r="D78" s="93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</row>
    <row r="79" spans="1:15" customFormat="1" ht="50" customHeight="1" x14ac:dyDescent="0.2">
      <c r="A79" s="32"/>
      <c r="B79" s="33" t="s">
        <v>69</v>
      </c>
      <c r="C79" s="32">
        <f ca="1">IFERROR(
   COUNTIF(INDIRECT("'" &amp; LOOKUP("zzz",$A$7:A79) &amp; "'!C:C"), B79),
   0
)</f>
        <v>0</v>
      </c>
      <c r="D79" s="78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5" customFormat="1" ht="50" customHeight="1" x14ac:dyDescent="0.2">
      <c r="A80" s="32"/>
      <c r="B80" s="33" t="s">
        <v>70</v>
      </c>
      <c r="C80" s="32">
        <f ca="1">IFERROR(
   COUNTIF(INDIRECT("'" &amp; LOOKUP("zzz",$A$7:A80) &amp; "'!C:C"), B80),
   0
)</f>
        <v>0</v>
      </c>
      <c r="D80" s="78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spans="1:15" customFormat="1" ht="50" customHeight="1" x14ac:dyDescent="0.2">
      <c r="A81" s="32"/>
      <c r="B81" s="33" t="s">
        <v>67</v>
      </c>
      <c r="C81" s="32">
        <f ca="1">IFERROR(
   COUNTIF(INDIRECT("'" &amp; LOOKUP("zzz",$A$7:A81) &amp; "'!C:C"), B81),
   0
)</f>
        <v>0</v>
      </c>
      <c r="D81" s="78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32"/>
      <c r="B82" s="33" t="s">
        <v>71</v>
      </c>
      <c r="C82" s="32">
        <f ca="1">IFERROR(
   COUNTIF(INDIRECT("'" &amp; LOOKUP("zzz",$A$7:A82) &amp; "'!C:C"), B82),
   0
)</f>
        <v>0</v>
      </c>
      <c r="D82" s="78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</row>
    <row r="83" spans="1:15" customFormat="1" ht="50" customHeight="1" x14ac:dyDescent="0.2">
      <c r="A83" s="32"/>
      <c r="B83" s="33" t="s">
        <v>30</v>
      </c>
      <c r="C83" s="32">
        <f ca="1">IFERROR(
   COUNTIF(INDIRECT("'" &amp; LOOKUP("zzz",$A$7:A83) &amp; "'!C:C"), B83),
   0
)</f>
        <v>0</v>
      </c>
      <c r="D83" s="78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</row>
    <row r="84" spans="1:15" customFormat="1" ht="50" customHeight="1" x14ac:dyDescent="0.2">
      <c r="A84" s="32"/>
      <c r="B84" s="33" t="s">
        <v>72</v>
      </c>
      <c r="C84" s="32">
        <f ca="1">IFERROR(
   COUNTIF(INDIRECT("'" &amp; LOOKUP("zzz",$A$7:A84) &amp; "'!C:C"), B84),
   0
)</f>
        <v>0</v>
      </c>
      <c r="D84" s="78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</row>
    <row r="85" spans="1:15" ht="50" customHeight="1" x14ac:dyDescent="0.2">
      <c r="A85" s="32"/>
      <c r="B85" s="33" t="s">
        <v>40</v>
      </c>
      <c r="C85" s="32">
        <f ca="1">IFERROR(
   COUNTIF(INDIRECT("'" &amp; LOOKUP("zzz",$A$7:A85) &amp; "'!C:C"), B85),
   0
)</f>
        <v>0</v>
      </c>
      <c r="D85" s="78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ht="50" customHeight="1" x14ac:dyDescent="0.2">
      <c r="A86" s="74" t="s">
        <v>57</v>
      </c>
      <c r="B86" s="52" t="s">
        <v>27</v>
      </c>
      <c r="C86" s="51">
        <f ca="1">IFERROR(
   COUNTIF(INDIRECT("'" &amp; LOOKUP("zzz",$A$7:A86) &amp; "'!C:C"), B86),
   0
)</f>
        <v>0</v>
      </c>
      <c r="D86" s="9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ht="50" customHeight="1" x14ac:dyDescent="0.2">
      <c r="A87" s="35"/>
      <c r="B87" s="34" t="s">
        <v>78</v>
      </c>
      <c r="C87" s="32">
        <f ca="1">IFERROR(
   COUNTIF(INDIRECT("'" &amp; LOOKUP("zzz",$A$7:A87) &amp; "'!C:C"), B87),
   0
)</f>
        <v>0</v>
      </c>
      <c r="D87" s="78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ht="50" customHeight="1" x14ac:dyDescent="0.2">
      <c r="A88" s="35"/>
      <c r="B88" s="34" t="s">
        <v>79</v>
      </c>
      <c r="C88" s="32">
        <f ca="1">IFERROR(
   COUNTIF(INDIRECT("'" &amp; LOOKUP("zzz",$A$7:A88) &amp; "'!C:C"), B88),
   0
)</f>
        <v>0</v>
      </c>
      <c r="D88" s="78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ht="50" customHeight="1" x14ac:dyDescent="0.2">
      <c r="A89" s="35"/>
      <c r="B89" s="34" t="s">
        <v>28</v>
      </c>
      <c r="C89" s="32">
        <f ca="1">IFERROR(
   COUNTIF(INDIRECT("'" &amp; LOOKUP("zzz",$A$7:A89) &amp; "'!C:C"), B89),
   0
)</f>
        <v>0</v>
      </c>
      <c r="D89" s="78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ht="50" customHeight="1" x14ac:dyDescent="0.2">
      <c r="A90" s="35"/>
      <c r="B90" s="34" t="s">
        <v>164</v>
      </c>
      <c r="C90" s="32">
        <f ca="1">IFERROR(
   COUNTIF(INDIRECT("'" &amp; LOOKUP("zzz",$A$7:A90) &amp; "'!C:C"), B90),
   0
)</f>
        <v>0</v>
      </c>
      <c r="D90" s="78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ht="50" customHeight="1" x14ac:dyDescent="0.2">
      <c r="A91" s="35"/>
      <c r="B91" s="34" t="s">
        <v>29</v>
      </c>
      <c r="C91" s="32">
        <f ca="1">IFERROR(
   COUNTIF(INDIRECT("'" &amp; LOOKUP("zzz",$A$7:A91) &amp; "'!C:C"), B91),
   0
)</f>
        <v>0</v>
      </c>
      <c r="D91" s="78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ht="50" customHeight="1" x14ac:dyDescent="0.2">
      <c r="A92" s="35"/>
      <c r="B92" s="34" t="s">
        <v>38</v>
      </c>
      <c r="C92" s="32">
        <f ca="1">IFERROR(
   COUNTIF(INDIRECT("'" &amp; LOOKUP("zzz",$A$7:A92) &amp; "'!C:C"), B92),
   0
)</f>
        <v>0</v>
      </c>
      <c r="D92" s="78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</row>
    <row r="93" spans="1:15" ht="50" customHeight="1" x14ac:dyDescent="0.2">
      <c r="A93" s="70"/>
      <c r="B93" s="71" t="s">
        <v>83</v>
      </c>
      <c r="C93" s="32">
        <f ca="1">IFERROR(
   COUNTIF(INDIRECT("'" &amp; LOOKUP("zzz",$A$7:A93) &amp; "'!C:C"), B93),
   0
)</f>
        <v>0</v>
      </c>
      <c r="D93" s="78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</row>
    <row r="94" spans="1:15" ht="50" customHeight="1" x14ac:dyDescent="0.2">
      <c r="A94" s="86"/>
      <c r="B94" s="90" t="s">
        <v>80</v>
      </c>
      <c r="C94" s="85">
        <f ca="1">IFERROR(
   COUNTIF(INDIRECT("'" &amp; LOOKUP("zzz",$A$7:A94) &amp; "'!C:C"), B94),
   0
)</f>
        <v>0</v>
      </c>
      <c r="D94" s="92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</row>
    <row r="95" spans="1:15" ht="50" customHeight="1" x14ac:dyDescent="0.2">
      <c r="A95" s="28" t="s">
        <v>88</v>
      </c>
      <c r="B95" s="33" t="s">
        <v>104</v>
      </c>
      <c r="C95" s="28">
        <f ca="1">IFERROR(
   COUNTIF(INDIRECT("'" &amp; LOOKUP("zzz",$A$7:A95) &amp; "'!C:C"), B95),
   0
)</f>
        <v>0</v>
      </c>
      <c r="D95" s="93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</row>
    <row r="96" spans="1:15" ht="50" customHeight="1" x14ac:dyDescent="0.2">
      <c r="A96" s="78"/>
      <c r="B96" s="33" t="s">
        <v>103</v>
      </c>
      <c r="C96" s="32">
        <f ca="1">IFERROR(
   COUNTIF(INDIRECT("'" &amp; LOOKUP("zzz",$A$7:A96) &amp; "'!C:C"), B96),
   0
)</f>
        <v>0</v>
      </c>
      <c r="D96" s="78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</row>
    <row r="97" spans="1:4" ht="50" customHeight="1" x14ac:dyDescent="0.2">
      <c r="A97" s="32"/>
      <c r="B97" s="33" t="s">
        <v>102</v>
      </c>
      <c r="C97" s="32">
        <f ca="1">IFERROR(
   COUNTIF(INDIRECT("'" &amp; LOOKUP("zzz",$A$7:A97) &amp; "'!C:C"), B97),
   0
)</f>
        <v>0</v>
      </c>
      <c r="D97" s="78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</row>
    <row r="98" spans="1:4" ht="50" customHeight="1" x14ac:dyDescent="0.2">
      <c r="A98" s="32"/>
      <c r="B98" s="33" t="s">
        <v>159</v>
      </c>
      <c r="C98" s="32">
        <f ca="1">IFERROR(
   COUNTIF(INDIRECT("'" &amp; LOOKUP("zzz",$A$7:A98) &amp; "'!C:C"), B98),
   0
)</f>
        <v>0</v>
      </c>
      <c r="D98" s="78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</row>
    <row r="99" spans="1:4" ht="50" customHeight="1" x14ac:dyDescent="0.2">
      <c r="A99" s="32"/>
      <c r="B99" s="33" t="s">
        <v>101</v>
      </c>
      <c r="C99" s="32">
        <f ca="1">IFERROR(
   COUNTIF(INDIRECT("'" &amp; LOOKUP("zzz",$A$7:A99) &amp; "'!C:C"), B99),
   0
)</f>
        <v>0</v>
      </c>
      <c r="D99" s="78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</row>
    <row r="100" spans="1:4" ht="50" customHeight="1" x14ac:dyDescent="0.2">
      <c r="A100" s="85"/>
      <c r="B100" s="80" t="s">
        <v>100</v>
      </c>
      <c r="C100" s="85">
        <f ca="1">IFERROR(
   COUNTIF(INDIRECT("'" &amp; LOOKUP("zzz",$A$7:A100) &amp; "'!C:C"), B100),
   0
)</f>
        <v>0</v>
      </c>
      <c r="D100" s="92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</row>
    <row r="101" spans="1:4" ht="50" customHeight="1" x14ac:dyDescent="0.2">
      <c r="A101" s="28" t="s">
        <v>90</v>
      </c>
      <c r="B101" s="29" t="s">
        <v>119</v>
      </c>
      <c r="C101" s="28">
        <f ca="1">IFERROR(
   COUNTIF(INDIRECT("'" &amp; LOOKUP("zzz",$A$7:A101) &amp; "'!C:C"), B101),
   0
)</f>
        <v>0</v>
      </c>
      <c r="D101" s="93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4" ht="50" customHeight="1" x14ac:dyDescent="0.2">
      <c r="A102" s="32"/>
      <c r="B102" s="33" t="s">
        <v>118</v>
      </c>
      <c r="C102" s="32">
        <f ca="1">IFERROR(
   COUNTIF(INDIRECT("'" &amp; LOOKUP("zzz",$A$7:A102) &amp; "'!C:C"), B102),
   0
)</f>
        <v>0</v>
      </c>
      <c r="D102" s="78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4" ht="50" customHeight="1" x14ac:dyDescent="0.2">
      <c r="A103" s="32"/>
      <c r="B103" s="33" t="s">
        <v>117</v>
      </c>
      <c r="C103" s="32">
        <f ca="1">IFERROR(
   COUNTIF(INDIRECT("'" &amp; LOOKUP("zzz",$A$7:A103) &amp; "'!C:C"), B103),
   0
)</f>
        <v>0</v>
      </c>
      <c r="D103" s="78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4" ht="50" customHeight="1" x14ac:dyDescent="0.2">
      <c r="A104" s="32"/>
      <c r="B104" s="33" t="s">
        <v>153</v>
      </c>
      <c r="C104" s="32">
        <f ca="1">IFERROR(
   COUNTIF(INDIRECT("'" &amp; LOOKUP("zzz",$A$7:A104) &amp; "'!C:C"), B104),
   0
)</f>
        <v>0</v>
      </c>
      <c r="D104" s="78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4" ht="50" customHeight="1" x14ac:dyDescent="0.2">
      <c r="A105" s="32"/>
      <c r="B105" s="33" t="s">
        <v>116</v>
      </c>
      <c r="C105" s="32">
        <f ca="1">IFERROR(
   COUNTIF(INDIRECT("'" &amp; LOOKUP("zzz",$A$7:A105) &amp; "'!C:C"), B105),
   0
)</f>
        <v>0</v>
      </c>
      <c r="D105" s="78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4" ht="50" customHeight="1" x14ac:dyDescent="0.2">
      <c r="A106" s="32"/>
      <c r="B106" s="33" t="s">
        <v>160</v>
      </c>
      <c r="C106" s="32">
        <f ca="1">IFERROR(
   COUNTIF(INDIRECT("'" &amp; LOOKUP("zzz",$A$7:A106) &amp; "'!C:C"), B106),
   0
)</f>
        <v>0</v>
      </c>
      <c r="D106" s="78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4" ht="50" customHeight="1" x14ac:dyDescent="0.2">
      <c r="A107" s="32"/>
      <c r="B107" s="33" t="s">
        <v>167</v>
      </c>
      <c r="C107" s="32">
        <f ca="1">IFERROR(
   COUNTIF(INDIRECT("'" &amp; LOOKUP("zzz",$A$7:A107) &amp; "'!C:C"), B107),
   0
)</f>
        <v>0</v>
      </c>
      <c r="D107" s="78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4" ht="50" customHeight="1" x14ac:dyDescent="0.2">
      <c r="A108" s="32"/>
      <c r="B108" s="33" t="s">
        <v>115</v>
      </c>
      <c r="C108" s="32">
        <f ca="1">IFERROR(
   COUNTIF(INDIRECT("'" &amp; LOOKUP("zzz",$A$7:A108) &amp; "'!C:C"), B108),
   0
)</f>
        <v>0</v>
      </c>
      <c r="D108" s="78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4" ht="50" customHeight="1" x14ac:dyDescent="0.2">
      <c r="A109" s="32"/>
      <c r="B109" s="33" t="s">
        <v>114</v>
      </c>
      <c r="C109" s="32">
        <f ca="1">IFERROR(
   COUNTIF(INDIRECT("'" &amp; LOOKUP("zzz",$A$7:A109) &amp; "'!C:C"), B109),
   0
)</f>
        <v>0</v>
      </c>
      <c r="D109" s="78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4" ht="50" customHeight="1" x14ac:dyDescent="0.2">
      <c r="A110" s="35"/>
      <c r="B110" s="34" t="s">
        <v>113</v>
      </c>
      <c r="C110" s="32">
        <f ca="1">IFERROR(
   COUNTIF(INDIRECT("'" &amp; LOOKUP("zzz",$A$7:A110) &amp; "'!C:C"), B110),
   0
)</f>
        <v>0</v>
      </c>
      <c r="D110" s="78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4" ht="50" customHeight="1" x14ac:dyDescent="0.2">
      <c r="A111" s="35"/>
      <c r="B111" s="34" t="s">
        <v>112</v>
      </c>
      <c r="C111" s="32">
        <f ca="1">IFERROR(
   COUNTIF(INDIRECT("'" &amp; LOOKUP("zzz",$A$7:A111) &amp; "'!C:C"), B111),
   0
)</f>
        <v>0</v>
      </c>
      <c r="D111" s="78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4" ht="50" customHeight="1" x14ac:dyDescent="0.2">
      <c r="A112" s="84"/>
      <c r="B112" s="83" t="s">
        <v>111</v>
      </c>
      <c r="C112" s="82">
        <f ca="1">IFERROR(
   COUNTIF(INDIRECT("'" &amp; LOOKUP("zzz",$A$7:A112) &amp; "'!C:C"), B112),
   0
)</f>
        <v>0</v>
      </c>
      <c r="D112" s="92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8" t="s">
        <v>89</v>
      </c>
      <c r="B113" s="29" t="s">
        <v>110</v>
      </c>
      <c r="C113" s="28">
        <f ca="1">IFERROR(
   COUNTIF(INDIRECT("'" &amp; LOOKUP("zzz",$A$7:A113) &amp; "'!C:C"), B113),
   0
)</f>
        <v>0</v>
      </c>
      <c r="D113" s="93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32"/>
      <c r="B114" s="33" t="s">
        <v>109</v>
      </c>
      <c r="C114" s="32">
        <f ca="1">IFERROR(
   COUNTIF(INDIRECT("'" &amp; LOOKUP("zzz",$A$7:A114) &amp; "'!C:C"), B114),
   0
)</f>
        <v>0</v>
      </c>
      <c r="D114" s="78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32"/>
      <c r="B115" s="33" t="s">
        <v>108</v>
      </c>
      <c r="C115" s="32">
        <f ca="1">IFERROR(
   COUNTIF(INDIRECT("'" &amp; LOOKUP("zzz",$A$7:A115) &amp; "'!C:C"), B115),
   0
)</f>
        <v>0</v>
      </c>
      <c r="D115" s="78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32"/>
      <c r="B116" s="33" t="s">
        <v>162</v>
      </c>
      <c r="C116" s="32">
        <f ca="1">IFERROR(
   COUNTIF(INDIRECT("'" &amp; LOOKUP("zzz",$A$7:A116) &amp; "'!C:C"), B116),
   0
)</f>
        <v>0</v>
      </c>
      <c r="D116" s="78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32"/>
      <c r="B117" s="33" t="s">
        <v>107</v>
      </c>
      <c r="C117" s="32">
        <f ca="1">IFERROR(
   COUNTIF(INDIRECT("'" &amp; LOOKUP("zzz",$A$7:A117) &amp; "'!C:C"), B117),
   0
)</f>
        <v>0</v>
      </c>
      <c r="D117" s="78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32"/>
      <c r="B118" s="33" t="s">
        <v>106</v>
      </c>
      <c r="C118" s="32">
        <f ca="1">IFERROR(
   COUNTIF(INDIRECT("'" &amp; LOOKUP("zzz",$A$7:A118) &amp; "'!C:C"), B118),
   0
)</f>
        <v>0</v>
      </c>
      <c r="D118" s="78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81"/>
      <c r="B119" s="80" t="s">
        <v>105</v>
      </c>
      <c r="C119" s="79">
        <f ca="1">IFERROR(
   COUNTIF(INDIRECT("'" &amp; LOOKUP("zzz",$A$7:A119) &amp; "'!C:C"), B119),
   0
)</f>
        <v>0</v>
      </c>
      <c r="D119" s="92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74" t="s">
        <v>87</v>
      </c>
      <c r="B120" s="71" t="s">
        <v>99</v>
      </c>
      <c r="C120" s="51">
        <f ca="1">IFERROR(
   COUNTIF(INDIRECT("'" &amp; LOOKUP("zzz",$A$7:A120) &amp; "'!C:C"), B120),
   0
)</f>
        <v>0</v>
      </c>
      <c r="D120" s="93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78"/>
      <c r="B121" s="33" t="s">
        <v>98</v>
      </c>
      <c r="C121" s="32">
        <f ca="1">IFERROR(
   COUNTIF(INDIRECT("'" &amp; LOOKUP("zzz",$A$7:A121) &amp; "'!C:C"), B121),
   0
)</f>
        <v>0</v>
      </c>
      <c r="D121" s="78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32"/>
      <c r="B122" s="33" t="s">
        <v>97</v>
      </c>
      <c r="C122" s="32">
        <f ca="1">IFERROR(
   COUNTIF(INDIRECT("'" &amp; LOOKUP("zzz",$A$7:A122) &amp; "'!C:C"), B122),
   0
)</f>
        <v>0</v>
      </c>
      <c r="D122" s="78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8"/>
      <c r="B123" s="29" t="s">
        <v>96</v>
      </c>
      <c r="C123" s="28">
        <f ca="1">IFERROR(
   COUNTIF(INDIRECT("'" &amp; LOOKUP("zzz",$A$7:A123) &amp; "'!C:C"), B123),
   0
)</f>
        <v>0</v>
      </c>
      <c r="D123" s="78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42"/>
      <c r="B124" s="47" t="s">
        <v>95</v>
      </c>
      <c r="C124" s="32">
        <f ca="1">IFERROR(
   COUNTIF(INDIRECT("'" &amp; LOOKUP("zzz",$A$7:A124) &amp; "'!C:C"), B124),
   0
)</f>
        <v>0</v>
      </c>
      <c r="D124" s="78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32"/>
      <c r="B125" s="33" t="s">
        <v>94</v>
      </c>
      <c r="C125" s="32">
        <f ca="1">IFERROR(
   COUNTIF(INDIRECT("'" &amp; LOOKUP("zzz",$A$7:A125) &amp; "'!C:C"), B125),
   0
)</f>
        <v>0</v>
      </c>
      <c r="D125" s="92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74" t="s">
        <v>139</v>
      </c>
      <c r="B126" s="52" t="s">
        <v>148</v>
      </c>
      <c r="C126" s="51">
        <f ca="1">IFERROR(
   COUNTIF(INDIRECT("'" &amp; LOOKUP("zzz",$A$7:A126) &amp; "'!C:C"), B126),
   0
)</f>
        <v>0</v>
      </c>
      <c r="D126" s="93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35"/>
      <c r="B127" s="34" t="s">
        <v>149</v>
      </c>
      <c r="C127" s="32">
        <f ca="1">IFERROR(
   COUNTIF(INDIRECT("'" &amp; LOOKUP("zzz",$A$7:A127) &amp; "'!C:C"), B127),
   0
)</f>
        <v>0</v>
      </c>
      <c r="D127" s="78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35"/>
      <c r="B128" s="34" t="s">
        <v>150</v>
      </c>
      <c r="C128" s="32">
        <f ca="1">IFERROR(
   COUNTIF(INDIRECT("'" &amp; LOOKUP("zzz",$A$7:A128) &amp; "'!C:C"), B128),
   0
)</f>
        <v>0</v>
      </c>
      <c r="D128" s="78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70"/>
      <c r="B129" s="71" t="s">
        <v>122</v>
      </c>
      <c r="C129" s="42">
        <f ca="1">IFERROR(
   COUNTIF(INDIRECT("'" &amp; LOOKUP("zzz",$A$7:A129) &amp; "'!C:C"), B129),
   0
)</f>
        <v>0</v>
      </c>
      <c r="D129" s="78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35"/>
      <c r="B130" s="34" t="s">
        <v>151</v>
      </c>
      <c r="C130" s="32">
        <f ca="1">IFERROR(
   COUNTIF(INDIRECT("'" &amp; LOOKUP("zzz",$A$7:A130) &amp; "'!C:C"), B130),
   0
)</f>
        <v>0</v>
      </c>
      <c r="D130" s="78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78"/>
      <c r="B131" s="33" t="s">
        <v>152</v>
      </c>
      <c r="C131" s="32">
        <f ca="1">IFERROR(
   COUNTIF(INDIRECT("'" &amp; LOOKUP("zzz",$A$7:A131) &amp; "'!C:C"), B131),
   0
)</f>
        <v>0</v>
      </c>
      <c r="D131" s="92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74" t="s">
        <v>140</v>
      </c>
      <c r="B132" s="52" t="s">
        <v>141</v>
      </c>
      <c r="C132" s="51">
        <f ca="1">IFERROR(
   COUNTIF(INDIRECT("'" &amp; LOOKUP("zzz",$A$7:A132) &amp; "'!C:C"), B132),
   0
)</f>
        <v>0</v>
      </c>
      <c r="D132" s="93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35"/>
      <c r="B133" s="34" t="s">
        <v>142</v>
      </c>
      <c r="C133" s="32">
        <f ca="1">IFERROR(
   COUNTIF(INDIRECT("'" &amp; LOOKUP("zzz",$A$7:A133) &amp; "'!C:C"), B133),
   0
)</f>
        <v>0</v>
      </c>
      <c r="D133" s="78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35"/>
      <c r="B134" s="34" t="s">
        <v>143</v>
      </c>
      <c r="C134" s="32">
        <f ca="1">IFERROR(
   COUNTIF(INDIRECT("'" &amp; LOOKUP("zzz",$A$7:A134) &amp; "'!C:C"), B134),
   0
)</f>
        <v>0</v>
      </c>
      <c r="D134" s="78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70"/>
      <c r="B135" s="71" t="s">
        <v>144</v>
      </c>
      <c r="C135" s="42">
        <f ca="1">IFERROR(
   COUNTIF(INDIRECT("'" &amp; LOOKUP("zzz",$A$7:A135) &amp; "'!C:C"), B135),
   0
)</f>
        <v>0</v>
      </c>
      <c r="D135" s="78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35"/>
      <c r="B136" s="34" t="s">
        <v>145</v>
      </c>
      <c r="C136" s="32">
        <f ca="1">IFERROR(
   COUNTIF(INDIRECT("'" &amp; LOOKUP("zzz",$A$7:A136) &amp; "'!C:C"), B136),
   0
)</f>
        <v>0</v>
      </c>
      <c r="D136" s="78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78"/>
      <c r="B137" s="33" t="s">
        <v>146</v>
      </c>
      <c r="C137" s="32">
        <f ca="1">IFERROR(
   COUNTIF(INDIRECT("'" &amp; LOOKUP("zzz",$A$7:A137) &amp; "'!C:C"), B137),
   0
)</f>
        <v>0</v>
      </c>
      <c r="D137" s="78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32"/>
      <c r="B138" s="33" t="s">
        <v>147</v>
      </c>
      <c r="C138" s="32">
        <f ca="1">IFERROR(
   COUNTIF(INDIRECT("'" &amp; LOOKUP("zzz",$A$7:A138) &amp; "'!C:C"), B138),
   0
)</f>
        <v>0</v>
      </c>
      <c r="D138" s="78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43"/>
      <c r="B139" s="44"/>
      <c r="C139" s="45"/>
      <c r="D139" s="26"/>
    </row>
    <row r="140" spans="1:4" ht="50" customHeight="1" x14ac:dyDescent="0.2">
      <c r="A140" s="45"/>
      <c r="B140" s="46"/>
      <c r="C140" s="45"/>
      <c r="D140" s="26"/>
    </row>
    <row r="141" spans="1:4" ht="50" customHeight="1" x14ac:dyDescent="0.2">
      <c r="A141" s="43"/>
      <c r="B141" s="46"/>
      <c r="C141" s="45"/>
      <c r="D141" s="26"/>
    </row>
    <row r="142" spans="1:4" ht="50" customHeight="1" x14ac:dyDescent="0.2">
      <c r="A142" s="43"/>
      <c r="B142" s="46"/>
      <c r="C142" s="45"/>
      <c r="D142" s="26"/>
    </row>
    <row r="143" spans="1:4" ht="50" customHeight="1" x14ac:dyDescent="0.2">
      <c r="A143" s="43"/>
      <c r="B143" s="44"/>
      <c r="C143" s="45"/>
      <c r="D143" s="26"/>
    </row>
    <row r="144" spans="1:4" ht="50" customHeight="1" x14ac:dyDescent="0.2">
      <c r="A144" s="43"/>
      <c r="B144" s="44"/>
      <c r="C144" s="45"/>
      <c r="D144" s="26"/>
    </row>
    <row r="145" spans="1:4" ht="50" customHeight="1" x14ac:dyDescent="0.2">
      <c r="A145" s="45"/>
      <c r="B145" s="44"/>
      <c r="C145" s="45"/>
      <c r="D145" s="26"/>
    </row>
    <row r="146" spans="1:4" ht="50" customHeight="1" x14ac:dyDescent="0.2">
      <c r="A146" s="43"/>
      <c r="B146" s="44"/>
      <c r="C146" s="45"/>
      <c r="D146" s="26"/>
    </row>
    <row r="147" spans="1:4" ht="50" customHeight="1" x14ac:dyDescent="0.2">
      <c r="A147" s="45"/>
      <c r="B147" s="44"/>
      <c r="C147" s="45"/>
      <c r="D147" s="26"/>
    </row>
    <row r="148" spans="1:4" ht="50" customHeight="1" x14ac:dyDescent="0.2">
      <c r="A148" s="43"/>
      <c r="B148" s="44"/>
      <c r="C148" s="45"/>
      <c r="D148" s="26"/>
    </row>
    <row r="149" spans="1:4" ht="50" customHeight="1" x14ac:dyDescent="0.2">
      <c r="A149" s="43"/>
      <c r="B149" s="44"/>
      <c r="C149" s="45"/>
      <c r="D149" s="26"/>
    </row>
    <row r="150" spans="1:4" ht="50" customHeight="1" x14ac:dyDescent="0.2">
      <c r="A150" s="43"/>
      <c r="B150" s="44"/>
      <c r="C150" s="45"/>
      <c r="D150" s="26"/>
    </row>
    <row r="151" spans="1:4" ht="50" customHeight="1" x14ac:dyDescent="0.2">
      <c r="A151" s="43"/>
      <c r="B151" s="44"/>
      <c r="C151" s="45"/>
      <c r="D151" s="26"/>
    </row>
    <row r="152" spans="1:4" ht="50" customHeight="1" x14ac:dyDescent="0.2">
      <c r="A152" s="43"/>
      <c r="B152" s="44"/>
      <c r="C152" s="45"/>
      <c r="D152" s="26"/>
    </row>
    <row r="153" spans="1:4" ht="50" customHeight="1" x14ac:dyDescent="0.2">
      <c r="A153" s="43"/>
      <c r="B153" s="44"/>
      <c r="C153" s="45"/>
      <c r="D153" s="26"/>
    </row>
    <row r="154" spans="1:4" ht="50" customHeight="1" x14ac:dyDescent="0.2">
      <c r="A154" s="43"/>
      <c r="B154" s="44"/>
      <c r="C154" s="45"/>
      <c r="D154" s="26"/>
    </row>
    <row r="155" spans="1:4" ht="50" customHeight="1" x14ac:dyDescent="0.2">
      <c r="A155" s="43"/>
      <c r="B155" s="44"/>
      <c r="C155" s="45"/>
      <c r="D155" s="26"/>
    </row>
    <row r="156" spans="1:4" ht="50" customHeight="1" x14ac:dyDescent="0.2">
      <c r="A156" s="43"/>
      <c r="B156" s="44"/>
      <c r="C156" s="45"/>
      <c r="D156" s="26"/>
    </row>
    <row r="157" spans="1:4" ht="50" customHeight="1" x14ac:dyDescent="0.2">
      <c r="A157" s="43"/>
      <c r="B157" s="44"/>
      <c r="C157" s="45"/>
      <c r="D157" s="26"/>
    </row>
    <row r="158" spans="1:4" ht="50" customHeight="1" x14ac:dyDescent="0.2">
      <c r="A158" s="45"/>
      <c r="B158" s="46"/>
      <c r="C158" s="45"/>
      <c r="D158" s="26"/>
    </row>
    <row r="159" spans="1:4" ht="50" customHeight="1" x14ac:dyDescent="0.2">
      <c r="A159" s="43"/>
      <c r="B159" s="46"/>
      <c r="C159" s="45"/>
      <c r="D159" s="26"/>
    </row>
    <row r="160" spans="1:4" ht="50" customHeight="1" x14ac:dyDescent="0.2">
      <c r="A160" s="43"/>
      <c r="B160" s="46"/>
      <c r="C160" s="45"/>
      <c r="D160" s="26"/>
    </row>
    <row r="161" spans="1:4" ht="50" customHeight="1" x14ac:dyDescent="0.2">
      <c r="A161" s="43"/>
      <c r="B161" s="44"/>
      <c r="C161" s="45"/>
      <c r="D161" s="26"/>
    </row>
    <row r="162" spans="1:4" ht="50" customHeight="1" x14ac:dyDescent="0.2">
      <c r="A162" s="43"/>
      <c r="B162" s="44"/>
      <c r="C162" s="45"/>
      <c r="D162" s="26"/>
    </row>
    <row r="163" spans="1:4" ht="50" customHeight="1" x14ac:dyDescent="0.2">
      <c r="A163" s="45"/>
      <c r="B163" s="44"/>
      <c r="C163" s="45"/>
      <c r="D163" s="26"/>
    </row>
    <row r="164" spans="1:4" ht="50" customHeight="1" x14ac:dyDescent="0.2">
      <c r="A164" s="43"/>
      <c r="B164" s="44"/>
      <c r="C164" s="45"/>
      <c r="D164" s="26"/>
    </row>
    <row r="165" spans="1:4" ht="50" customHeight="1" x14ac:dyDescent="0.2">
      <c r="A165" s="45"/>
      <c r="B165" s="44"/>
      <c r="C165" s="45"/>
      <c r="D165" s="26"/>
    </row>
    <row r="166" spans="1:4" ht="50" customHeight="1" x14ac:dyDescent="0.2">
      <c r="A166" s="43"/>
      <c r="B166" s="44"/>
      <c r="C166" s="45"/>
      <c r="D166" s="26"/>
    </row>
    <row r="167" spans="1:4" ht="50" customHeight="1" x14ac:dyDescent="0.2">
      <c r="A167" s="43"/>
      <c r="B167" s="44"/>
      <c r="C167" s="45"/>
      <c r="D167" s="26"/>
    </row>
    <row r="168" spans="1:4" ht="50" customHeight="1" x14ac:dyDescent="0.2">
      <c r="A168" s="43"/>
      <c r="B168" s="44"/>
      <c r="C168" s="45"/>
      <c r="D168" s="26"/>
    </row>
    <row r="169" spans="1:4" ht="50" customHeight="1" x14ac:dyDescent="0.2">
      <c r="A169" s="43"/>
      <c r="B169" s="44"/>
      <c r="C169" s="45"/>
      <c r="D169" s="26"/>
    </row>
    <row r="170" spans="1:4" ht="50" customHeight="1" x14ac:dyDescent="0.2">
      <c r="A170" s="43"/>
      <c r="B170" s="44"/>
      <c r="C170" s="45"/>
      <c r="D170" s="26"/>
    </row>
    <row r="171" spans="1:4" ht="50" customHeight="1" x14ac:dyDescent="0.2">
      <c r="A171" s="43"/>
      <c r="B171" s="44"/>
      <c r="C171" s="45"/>
      <c r="D171" s="26"/>
    </row>
    <row r="172" spans="1:4" ht="50" customHeight="1" x14ac:dyDescent="0.2">
      <c r="A172" s="43"/>
      <c r="B172" s="44"/>
      <c r="C172" s="45"/>
      <c r="D172" s="26"/>
    </row>
    <row r="173" spans="1:4" ht="50" customHeight="1" x14ac:dyDescent="0.2">
      <c r="A173" s="43"/>
      <c r="B173" s="44"/>
      <c r="C173" s="45"/>
      <c r="D173" s="26"/>
    </row>
    <row r="174" spans="1:4" ht="50" customHeight="1" x14ac:dyDescent="0.2">
      <c r="A174" s="45"/>
      <c r="B174" s="46"/>
      <c r="C174" s="45"/>
      <c r="D174" s="26"/>
    </row>
    <row r="175" spans="1:4" ht="50" customHeight="1" x14ac:dyDescent="0.2">
      <c r="A175" s="45"/>
      <c r="B175" s="46"/>
      <c r="C175" s="45"/>
      <c r="D175" s="26"/>
    </row>
    <row r="176" spans="1:4" ht="50" customHeight="1" x14ac:dyDescent="0.2">
      <c r="A176" s="45"/>
      <c r="B176" s="46"/>
      <c r="C176" s="45"/>
      <c r="D176" s="26"/>
    </row>
    <row r="177" spans="1:4" ht="50" customHeight="1" x14ac:dyDescent="0.2">
      <c r="A177" s="45"/>
      <c r="B177" s="46"/>
      <c r="C177" s="45"/>
      <c r="D177" s="26"/>
    </row>
    <row r="178" spans="1:4" ht="50" customHeight="1" x14ac:dyDescent="0.2">
      <c r="A178" s="45"/>
      <c r="B178" s="46"/>
      <c r="C178" s="45"/>
      <c r="D178" s="26"/>
    </row>
    <row r="179" spans="1:4" ht="50" customHeight="1" x14ac:dyDescent="0.2">
      <c r="A179" s="45"/>
      <c r="B179" s="46"/>
      <c r="C179" s="45"/>
      <c r="D179" s="26"/>
    </row>
    <row r="180" spans="1:4" ht="50" customHeight="1" x14ac:dyDescent="0.2">
      <c r="A180" s="45"/>
      <c r="B180" s="46"/>
      <c r="C180" s="45"/>
      <c r="D180" s="26"/>
    </row>
    <row r="181" spans="1:4" ht="50" customHeight="1" x14ac:dyDescent="0.2">
      <c r="A181" s="45"/>
      <c r="B181" s="46"/>
      <c r="C181" s="45"/>
      <c r="D181" s="26"/>
    </row>
    <row r="182" spans="1:4" ht="50" customHeight="1" x14ac:dyDescent="0.2">
      <c r="A182" s="45"/>
      <c r="B182" s="46"/>
      <c r="C182" s="45"/>
      <c r="D182" s="26"/>
    </row>
    <row r="183" spans="1:4" ht="50" customHeight="1" x14ac:dyDescent="0.2">
      <c r="A183" s="45"/>
      <c r="B183" s="46"/>
      <c r="C183" s="45"/>
      <c r="D183" s="26"/>
    </row>
    <row r="184" spans="1:4" ht="50" customHeight="1" x14ac:dyDescent="0.2">
      <c r="A184" s="45"/>
      <c r="B184" s="46"/>
      <c r="C184" s="45"/>
      <c r="D184" s="26"/>
    </row>
    <row r="185" spans="1:4" ht="50" customHeight="1" x14ac:dyDescent="0.2">
      <c r="A185" s="45"/>
      <c r="B185" s="46"/>
      <c r="C185" s="45"/>
      <c r="D185" s="26"/>
    </row>
    <row r="186" spans="1:4" ht="50" customHeight="1" x14ac:dyDescent="0.2">
      <c r="A186" s="45"/>
      <c r="B186" s="46"/>
      <c r="C186" s="45"/>
      <c r="D186" s="26"/>
    </row>
    <row r="187" spans="1:4" ht="50" customHeight="1" x14ac:dyDescent="0.2">
      <c r="A187" s="45"/>
      <c r="B187" s="46"/>
      <c r="C187" s="45"/>
      <c r="D187" s="26"/>
    </row>
    <row r="188" spans="1:4" ht="50" customHeight="1" x14ac:dyDescent="0.2">
      <c r="A188" s="45"/>
      <c r="B188" s="46"/>
      <c r="C188" s="45"/>
      <c r="D188" s="26"/>
    </row>
    <row r="189" spans="1:4" ht="50" customHeight="1" x14ac:dyDescent="0.2">
      <c r="A189" s="45"/>
      <c r="B189" s="46"/>
      <c r="C189" s="45"/>
      <c r="D189" s="26"/>
    </row>
    <row r="190" spans="1:4" ht="50" customHeight="1" x14ac:dyDescent="0.2">
      <c r="A190" s="45"/>
      <c r="B190" s="46"/>
      <c r="C190" s="45"/>
      <c r="D190" s="26"/>
    </row>
    <row r="191" spans="1:4" ht="50" customHeight="1" x14ac:dyDescent="0.2">
      <c r="A191" s="45"/>
      <c r="B191" s="46"/>
      <c r="C191" s="45"/>
      <c r="D191" s="26"/>
    </row>
    <row r="192" spans="1:4" ht="50" customHeight="1" x14ac:dyDescent="0.2">
      <c r="A192" s="45"/>
      <c r="B192" s="46"/>
      <c r="C192" s="45"/>
      <c r="D192" s="26"/>
    </row>
    <row r="193" spans="1:4" ht="50" customHeight="1" x14ac:dyDescent="0.2">
      <c r="A193" s="45"/>
      <c r="B193" s="46"/>
      <c r="C193" s="45"/>
      <c r="D193" s="26"/>
    </row>
    <row r="194" spans="1:4" ht="50" customHeight="1" x14ac:dyDescent="0.2">
      <c r="A194" s="45"/>
      <c r="B194" s="46"/>
      <c r="C194" s="45"/>
      <c r="D194" s="26"/>
    </row>
    <row r="195" spans="1:4" ht="50" customHeight="1" x14ac:dyDescent="0.2">
      <c r="A195" s="45"/>
      <c r="B195" s="46"/>
      <c r="C195" s="45"/>
      <c r="D195" s="26"/>
    </row>
    <row r="196" spans="1:4" ht="50" customHeight="1" x14ac:dyDescent="0.2">
      <c r="A196" s="45"/>
      <c r="B196" s="46"/>
      <c r="C196" s="45"/>
      <c r="D196" s="26"/>
    </row>
    <row r="197" spans="1:4" ht="50" customHeight="1" x14ac:dyDescent="0.2">
      <c r="A197" s="45"/>
      <c r="B197" s="46"/>
      <c r="C197" s="45"/>
      <c r="D197" s="26"/>
    </row>
    <row r="198" spans="1:4" ht="50" customHeight="1" x14ac:dyDescent="0.2">
      <c r="A198" s="45"/>
      <c r="B198" s="46"/>
      <c r="C198" s="45"/>
      <c r="D198" s="26"/>
    </row>
    <row r="199" spans="1:4" ht="50" customHeight="1" x14ac:dyDescent="0.2">
      <c r="A199" s="27"/>
      <c r="B199" s="25"/>
      <c r="C199" s="25"/>
      <c r="D199" s="26"/>
    </row>
    <row r="200" spans="1:4" ht="50" customHeight="1" x14ac:dyDescent="0.2">
      <c r="A200" s="27"/>
      <c r="B200" s="25"/>
      <c r="C200" s="25"/>
      <c r="D200" s="26"/>
    </row>
    <row r="201" spans="1:4" ht="50" customHeight="1" x14ac:dyDescent="0.2">
      <c r="A201" s="27"/>
      <c r="B201" s="25"/>
      <c r="C201" s="25"/>
      <c r="D201" s="26"/>
    </row>
    <row r="202" spans="1:4" ht="50" customHeight="1" x14ac:dyDescent="0.2">
      <c r="A202" s="27"/>
      <c r="B202" s="25"/>
      <c r="C202" s="25"/>
      <c r="D202" s="26"/>
    </row>
    <row r="203" spans="1:4" ht="50" customHeight="1" x14ac:dyDescent="0.2">
      <c r="A203" s="27"/>
      <c r="B203" s="25"/>
      <c r="C203" s="25"/>
      <c r="D203" s="26"/>
    </row>
    <row r="204" spans="1:4" ht="50" customHeight="1" x14ac:dyDescent="0.2">
      <c r="A204" s="27"/>
      <c r="B204" s="25"/>
      <c r="C204" s="25"/>
      <c r="D204" s="26"/>
    </row>
    <row r="205" spans="1:4" ht="50" customHeight="1" x14ac:dyDescent="0.2">
      <c r="A205" s="27"/>
      <c r="B205" s="25"/>
      <c r="C205" s="25"/>
      <c r="D205" s="26"/>
    </row>
    <row r="206" spans="1:4" ht="50" customHeight="1" x14ac:dyDescent="0.2">
      <c r="A206" s="27"/>
      <c r="B206" s="25"/>
      <c r="C206" s="25"/>
      <c r="D206" s="26"/>
    </row>
    <row r="207" spans="1:4" ht="50" customHeight="1" x14ac:dyDescent="0.2">
      <c r="A207" s="27"/>
      <c r="B207" s="25"/>
      <c r="C207" s="25"/>
      <c r="D207" s="26"/>
    </row>
    <row r="208" spans="1:4" ht="50" customHeight="1" x14ac:dyDescent="0.2">
      <c r="A208" s="27"/>
      <c r="B208" s="25"/>
      <c r="C208" s="25"/>
      <c r="D208" s="26"/>
    </row>
    <row r="209" spans="1:4" ht="50" customHeight="1" x14ac:dyDescent="0.2">
      <c r="A209" s="27"/>
      <c r="B209" s="25"/>
      <c r="C209" s="25"/>
      <c r="D209" s="26"/>
    </row>
    <row r="210" spans="1:4" ht="50" customHeight="1" x14ac:dyDescent="0.2">
      <c r="A210" s="27"/>
      <c r="B210" s="25"/>
      <c r="C210" s="25"/>
      <c r="D210" s="26"/>
    </row>
    <row r="211" spans="1:4" ht="50" customHeight="1" x14ac:dyDescent="0.2">
      <c r="A211" s="27"/>
      <c r="B211" s="25"/>
      <c r="C211" s="25"/>
      <c r="D211" s="26"/>
    </row>
    <row r="212" spans="1:4" ht="50" customHeight="1" x14ac:dyDescent="0.2">
      <c r="A212" s="27"/>
      <c r="B212" s="25"/>
      <c r="C212" s="25"/>
      <c r="D212" s="26"/>
    </row>
    <row r="213" spans="1:4" ht="50" customHeight="1" x14ac:dyDescent="0.2">
      <c r="A213" s="27"/>
      <c r="B213" s="25"/>
      <c r="C213" s="25"/>
      <c r="D213" s="26"/>
    </row>
    <row r="214" spans="1:4" ht="50" customHeight="1" x14ac:dyDescent="0.2">
      <c r="A214" s="27"/>
      <c r="B214" s="25"/>
      <c r="C214" s="25"/>
      <c r="D214" s="26"/>
    </row>
    <row r="215" spans="1:4" ht="50" customHeight="1" x14ac:dyDescent="0.2">
      <c r="A215" s="27"/>
      <c r="B215" s="25"/>
      <c r="C215" s="25"/>
      <c r="D215" s="26"/>
    </row>
    <row r="216" spans="1:4" ht="50" customHeight="1" x14ac:dyDescent="0.2">
      <c r="A216" s="27"/>
      <c r="B216" s="25"/>
      <c r="C216" s="25"/>
      <c r="D216" s="26"/>
    </row>
    <row r="217" spans="1:4" ht="50" customHeight="1" x14ac:dyDescent="0.2">
      <c r="A217" s="27"/>
      <c r="B217" s="25"/>
      <c r="C217" s="25"/>
      <c r="D217" s="26"/>
    </row>
    <row r="218" spans="1:4" ht="50" customHeight="1" x14ac:dyDescent="0.2">
      <c r="A218" s="27"/>
      <c r="B218" s="25"/>
      <c r="C218" s="25"/>
      <c r="D218" s="26"/>
    </row>
    <row r="219" spans="1:4" ht="50" customHeight="1" x14ac:dyDescent="0.2">
      <c r="A219" s="27"/>
      <c r="B219" s="25"/>
      <c r="C219" s="25"/>
      <c r="D219" s="26"/>
    </row>
    <row r="220" spans="1:4" ht="50" customHeight="1" x14ac:dyDescent="0.2">
      <c r="A220" s="27"/>
      <c r="B220" s="25"/>
      <c r="C220" s="25"/>
      <c r="D220" s="26"/>
    </row>
    <row r="221" spans="1:4" ht="50" customHeight="1" x14ac:dyDescent="0.2">
      <c r="A221" s="27"/>
      <c r="B221" s="25"/>
      <c r="C221" s="25"/>
      <c r="D221" s="26"/>
    </row>
    <row r="222" spans="1:4" ht="50" customHeight="1" x14ac:dyDescent="0.2">
      <c r="A222" s="27"/>
      <c r="B222" s="25"/>
      <c r="C222" s="25"/>
      <c r="D222" s="26"/>
    </row>
    <row r="223" spans="1:4" ht="50" customHeight="1" x14ac:dyDescent="0.2">
      <c r="A223" s="27"/>
      <c r="B223" s="25"/>
      <c r="C223" s="25"/>
      <c r="D223" s="26"/>
    </row>
    <row r="224" spans="1:4" ht="50" customHeight="1" x14ac:dyDescent="0.2">
      <c r="A224" s="27"/>
      <c r="B224" s="25"/>
      <c r="C224" s="25"/>
      <c r="D224" s="26"/>
    </row>
    <row r="225" spans="1:4" ht="50" customHeight="1" x14ac:dyDescent="0.2">
      <c r="A225" s="27"/>
      <c r="B225" s="25"/>
      <c r="C225" s="25"/>
      <c r="D225" s="26"/>
    </row>
    <row r="226" spans="1:4" ht="50" customHeight="1" x14ac:dyDescent="0.2">
      <c r="A226" s="27"/>
      <c r="B226" s="25"/>
      <c r="C226" s="25"/>
      <c r="D226" s="26"/>
    </row>
    <row r="227" spans="1:4" ht="50" customHeight="1" x14ac:dyDescent="0.2">
      <c r="A227" s="27"/>
      <c r="B227" s="25"/>
      <c r="C227" s="25"/>
      <c r="D227" s="26"/>
    </row>
    <row r="228" spans="1:4" ht="50" customHeight="1" x14ac:dyDescent="0.2">
      <c r="A228" s="27"/>
      <c r="B228" s="25"/>
      <c r="C228" s="25"/>
      <c r="D228" s="26"/>
    </row>
    <row r="229" spans="1:4" ht="50" customHeight="1" x14ac:dyDescent="0.2">
      <c r="A229" s="27"/>
      <c r="B229" s="25"/>
      <c r="C229" s="25"/>
      <c r="D229" s="26"/>
    </row>
    <row r="230" spans="1:4" ht="50" customHeight="1" x14ac:dyDescent="0.2">
      <c r="A230" s="27"/>
      <c r="B230" s="25"/>
      <c r="C230" s="25"/>
      <c r="D230" s="26"/>
    </row>
    <row r="231" spans="1:4" ht="50" customHeight="1" x14ac:dyDescent="0.2">
      <c r="A231" s="27"/>
      <c r="B231" s="25"/>
      <c r="C231" s="25"/>
      <c r="D231" s="26"/>
    </row>
    <row r="232" spans="1:4" ht="50" customHeight="1" x14ac:dyDescent="0.2">
      <c r="A232" s="27"/>
      <c r="B232" s="25"/>
      <c r="C232" s="25"/>
      <c r="D232" s="26"/>
    </row>
    <row r="233" spans="1:4" ht="50" customHeight="1" x14ac:dyDescent="0.2">
      <c r="A233" s="27"/>
      <c r="B233" s="25"/>
      <c r="C233" s="25"/>
      <c r="D233" s="26"/>
    </row>
    <row r="234" spans="1:4" ht="50" customHeight="1" x14ac:dyDescent="0.2">
      <c r="A234" s="27"/>
      <c r="B234" s="25"/>
      <c r="C234" s="25"/>
    </row>
    <row r="235" spans="1:4" ht="50" customHeight="1" x14ac:dyDescent="0.2">
      <c r="A235" s="27"/>
      <c r="B235" s="25"/>
      <c r="C235" s="25"/>
    </row>
    <row r="236" spans="1:4" ht="50" customHeight="1" x14ac:dyDescent="0.2">
      <c r="A236" s="27"/>
      <c r="B236" s="25"/>
      <c r="C236" s="25"/>
    </row>
    <row r="237" spans="1:4" ht="50" customHeight="1" x14ac:dyDescent="0.2">
      <c r="A237" s="27"/>
      <c r="B237" s="25"/>
      <c r="C237" s="25"/>
    </row>
    <row r="238" spans="1:4" ht="50" customHeight="1" x14ac:dyDescent="0.2">
      <c r="A238" s="25"/>
      <c r="B238" s="25"/>
      <c r="C238" s="25"/>
    </row>
    <row r="239" spans="1:4" ht="50" customHeight="1" x14ac:dyDescent="0.2">
      <c r="A239" s="25"/>
      <c r="B239" s="25"/>
      <c r="C239" s="25"/>
    </row>
    <row r="240" spans="1:4" ht="50" customHeight="1" x14ac:dyDescent="0.2">
      <c r="A240" s="25"/>
      <c r="B240" s="25"/>
      <c r="C240" s="25"/>
    </row>
    <row r="241" spans="1:3" ht="50" customHeight="1" x14ac:dyDescent="0.2">
      <c r="A241" s="25"/>
      <c r="B241" s="25"/>
      <c r="C241" s="25"/>
    </row>
    <row r="242" spans="1:3" ht="50" customHeight="1" x14ac:dyDescent="0.2">
      <c r="A242" s="25"/>
      <c r="B242" s="25"/>
      <c r="C242" s="25"/>
    </row>
    <row r="243" spans="1:3" ht="50" customHeight="1" x14ac:dyDescent="0.2">
      <c r="A243" s="25"/>
      <c r="B243" s="25"/>
      <c r="C243" s="25"/>
    </row>
    <row r="244" spans="1:3" ht="50" customHeight="1" x14ac:dyDescent="0.2">
      <c r="A244" s="25"/>
      <c r="B244" s="25"/>
      <c r="C244" s="25"/>
    </row>
    <row r="245" spans="1:3" ht="50" customHeight="1" x14ac:dyDescent="0.2">
      <c r="A245" s="25"/>
      <c r="B245" s="25"/>
      <c r="C245" s="25"/>
    </row>
    <row r="246" spans="1:3" ht="50" customHeight="1" x14ac:dyDescent="0.2">
      <c r="A246" s="25"/>
      <c r="B246" s="25"/>
      <c r="C246" s="25"/>
    </row>
    <row r="247" spans="1:3" ht="50" customHeight="1" x14ac:dyDescent="0.2">
      <c r="A247" s="25"/>
      <c r="B247" s="25"/>
      <c r="C247" s="25"/>
    </row>
    <row r="248" spans="1:3" ht="50" customHeight="1" x14ac:dyDescent="0.2">
      <c r="A248" s="25"/>
      <c r="B248" s="25"/>
      <c r="C248" s="25"/>
    </row>
    <row r="249" spans="1:3" ht="50" customHeight="1" x14ac:dyDescent="0.2">
      <c r="A249" s="25"/>
      <c r="B249" s="25"/>
      <c r="C249" s="25"/>
    </row>
    <row r="250" spans="1:3" ht="50" customHeight="1" x14ac:dyDescent="0.2">
      <c r="A250" s="25"/>
      <c r="B250" s="25"/>
      <c r="C250" s="25"/>
    </row>
    <row r="251" spans="1:3" ht="50" customHeight="1" x14ac:dyDescent="0.2">
      <c r="A251" s="25"/>
      <c r="B251" s="25"/>
      <c r="C251" s="25"/>
    </row>
    <row r="252" spans="1:3" ht="50" customHeight="1" x14ac:dyDescent="0.2">
      <c r="A252" s="25"/>
      <c r="B252" s="25"/>
      <c r="C252" s="25"/>
    </row>
    <row r="253" spans="1:3" ht="50" customHeight="1" x14ac:dyDescent="0.2">
      <c r="A253" s="25"/>
      <c r="B253" s="25"/>
      <c r="C253" s="25"/>
    </row>
    <row r="254" spans="1:3" ht="50" customHeight="1" x14ac:dyDescent="0.2">
      <c r="A254" s="25"/>
      <c r="B254" s="25"/>
      <c r="C254" s="25"/>
    </row>
    <row r="255" spans="1:3" ht="50" customHeight="1" x14ac:dyDescent="0.2">
      <c r="A255" s="25"/>
      <c r="B255" s="25"/>
      <c r="C255" s="25"/>
    </row>
    <row r="256" spans="1:3" ht="50" customHeight="1" x14ac:dyDescent="0.2">
      <c r="A256" s="25"/>
      <c r="B256" s="25"/>
    </row>
    <row r="257" spans="1:2" ht="50" customHeight="1" x14ac:dyDescent="0.2">
      <c r="A257" s="25"/>
      <c r="B257" s="25"/>
    </row>
    <row r="258" spans="1:2" ht="50" customHeight="1" x14ac:dyDescent="0.2">
      <c r="A258" s="25"/>
      <c r="B258" s="25"/>
    </row>
    <row r="259" spans="1:2" ht="50" customHeight="1" x14ac:dyDescent="0.2">
      <c r="A259" s="25"/>
      <c r="B259" s="25"/>
    </row>
    <row r="260" spans="1:2" ht="50" customHeight="1" x14ac:dyDescent="0.2">
      <c r="A260" s="25"/>
      <c r="B260" s="25"/>
    </row>
    <row r="261" spans="1:2" ht="50" customHeight="1" x14ac:dyDescent="0.2">
      <c r="A261" s="25"/>
      <c r="B261" s="25"/>
    </row>
    <row r="262" spans="1:2" ht="50" customHeight="1" x14ac:dyDescent="0.2">
      <c r="A262" s="25"/>
      <c r="B262" s="25"/>
    </row>
    <row r="263" spans="1:2" ht="50" customHeight="1" x14ac:dyDescent="0.2">
      <c r="A263" s="25"/>
      <c r="B263" s="25"/>
    </row>
    <row r="264" spans="1:2" ht="50" customHeight="1" x14ac:dyDescent="0.2">
      <c r="A264" s="25"/>
      <c r="B264" s="25"/>
    </row>
    <row r="265" spans="1:2" ht="50" customHeight="1" x14ac:dyDescent="0.2">
      <c r="A265" s="25"/>
      <c r="B265" s="25"/>
    </row>
    <row r="266" spans="1:2" ht="50" customHeight="1" x14ac:dyDescent="0.2">
      <c r="A266" s="25"/>
      <c r="B266" s="25"/>
    </row>
    <row r="267" spans="1:2" ht="50" customHeight="1" x14ac:dyDescent="0.2">
      <c r="A267" s="25"/>
      <c r="B267" s="25"/>
    </row>
    <row r="268" spans="1:2" ht="50" customHeight="1" x14ac:dyDescent="0.2">
      <c r="A268" s="25"/>
      <c r="B268" s="25"/>
    </row>
    <row r="269" spans="1:2" ht="50" customHeight="1" x14ac:dyDescent="0.2">
      <c r="A269" s="25"/>
      <c r="B269" s="25"/>
    </row>
    <row r="270" spans="1:2" ht="50" customHeight="1" x14ac:dyDescent="0.2">
      <c r="A270" s="25"/>
      <c r="B270" s="25"/>
    </row>
    <row r="271" spans="1:2" ht="50" customHeight="1" x14ac:dyDescent="0.2">
      <c r="A271" s="25"/>
      <c r="B271" s="25"/>
    </row>
    <row r="272" spans="1:2" ht="50" customHeight="1" x14ac:dyDescent="0.2">
      <c r="A272" s="25"/>
      <c r="B272" s="25"/>
    </row>
    <row r="273" spans="1:2" ht="50" customHeight="1" x14ac:dyDescent="0.2">
      <c r="A273" s="25"/>
      <c r="B273" s="25"/>
    </row>
    <row r="274" spans="1:2" ht="50" customHeight="1" x14ac:dyDescent="0.2">
      <c r="A274" s="25"/>
      <c r="B274" s="25"/>
    </row>
    <row r="275" spans="1:2" ht="50" customHeight="1" x14ac:dyDescent="0.2">
      <c r="A275" s="25"/>
      <c r="B275" s="25"/>
    </row>
    <row r="276" spans="1:2" ht="50" customHeight="1" x14ac:dyDescent="0.2">
      <c r="A276" s="25"/>
      <c r="B276" s="25"/>
    </row>
    <row r="277" spans="1:2" ht="50" customHeight="1" x14ac:dyDescent="0.2">
      <c r="A277" s="25"/>
      <c r="B277" s="25"/>
    </row>
    <row r="278" spans="1:2" ht="50" customHeight="1" x14ac:dyDescent="0.2">
      <c r="A278" s="25"/>
      <c r="B278" s="25"/>
    </row>
    <row r="279" spans="1:2" ht="50" customHeight="1" x14ac:dyDescent="0.2">
      <c r="A279" s="25"/>
      <c r="B279" s="25"/>
    </row>
    <row r="280" spans="1:2" ht="50" customHeight="1" x14ac:dyDescent="0.2">
      <c r="A280" s="25"/>
      <c r="B280" s="25"/>
    </row>
    <row r="281" spans="1:2" ht="50" customHeight="1" x14ac:dyDescent="0.2">
      <c r="A281" s="25"/>
      <c r="B281" s="25"/>
    </row>
    <row r="282" spans="1:2" ht="50" customHeight="1" x14ac:dyDescent="0.2">
      <c r="A282" s="25"/>
      <c r="B282" s="25"/>
    </row>
    <row r="283" spans="1:2" ht="50" customHeight="1" x14ac:dyDescent="0.2">
      <c r="A283" s="25"/>
      <c r="B283" s="25"/>
    </row>
    <row r="284" spans="1:2" ht="50" customHeight="1" x14ac:dyDescent="0.2">
      <c r="A284" s="25"/>
      <c r="B284" s="25"/>
    </row>
    <row r="285" spans="1:2" ht="50" customHeight="1" x14ac:dyDescent="0.2">
      <c r="A285" s="25"/>
      <c r="B285" s="25"/>
    </row>
    <row r="286" spans="1:2" ht="50" customHeight="1" x14ac:dyDescent="0.2">
      <c r="A286" s="25"/>
      <c r="B286" s="25"/>
    </row>
    <row r="287" spans="1:2" ht="50" customHeight="1" x14ac:dyDescent="0.2">
      <c r="A287" s="25"/>
      <c r="B287" s="25"/>
    </row>
    <row r="288" spans="1:2" ht="50" customHeight="1" x14ac:dyDescent="0.2">
      <c r="A288" s="25"/>
      <c r="B288" s="25"/>
    </row>
    <row r="289" spans="1:2" ht="50" customHeight="1" x14ac:dyDescent="0.2">
      <c r="A289" s="25"/>
      <c r="B289" s="25"/>
    </row>
    <row r="290" spans="1:2" ht="50" customHeight="1" x14ac:dyDescent="0.2">
      <c r="A290" s="25"/>
      <c r="B290" s="25"/>
    </row>
    <row r="291" spans="1:2" ht="50" customHeight="1" x14ac:dyDescent="0.2">
      <c r="A291" s="25"/>
      <c r="B291" s="25"/>
    </row>
    <row r="292" spans="1:2" ht="50" customHeight="1" x14ac:dyDescent="0.2">
      <c r="A292" s="25"/>
      <c r="B292" s="25"/>
    </row>
    <row r="293" spans="1:2" ht="50" customHeight="1" x14ac:dyDescent="0.2">
      <c r="A293" s="25"/>
      <c r="B293" s="25"/>
    </row>
    <row r="294" spans="1:2" ht="50" customHeight="1" x14ac:dyDescent="0.2">
      <c r="A294" s="25"/>
      <c r="B294" s="25"/>
    </row>
    <row r="295" spans="1:2" ht="50" customHeight="1" x14ac:dyDescent="0.2">
      <c r="A295" s="25"/>
      <c r="B295" s="25"/>
    </row>
    <row r="296" spans="1:2" ht="50" customHeight="1" x14ac:dyDescent="0.2">
      <c r="A296" s="25"/>
      <c r="B296" s="25"/>
    </row>
    <row r="297" spans="1:2" ht="50" customHeight="1" x14ac:dyDescent="0.2">
      <c r="A297" s="25"/>
      <c r="B297" s="25"/>
    </row>
    <row r="298" spans="1:2" ht="50" customHeight="1" x14ac:dyDescent="0.2">
      <c r="A298" s="25"/>
      <c r="B298" s="25"/>
    </row>
    <row r="299" spans="1:2" ht="50" customHeight="1" x14ac:dyDescent="0.2">
      <c r="A299" s="25"/>
      <c r="B299" s="25"/>
    </row>
    <row r="300" spans="1:2" ht="50" customHeight="1" x14ac:dyDescent="0.2">
      <c r="A300" s="25"/>
      <c r="B300" s="25"/>
    </row>
    <row r="301" spans="1:2" ht="50" customHeight="1" x14ac:dyDescent="0.2">
      <c r="A301" s="25"/>
      <c r="B301" s="25"/>
    </row>
    <row r="302" spans="1:2" ht="50" customHeight="1" x14ac:dyDescent="0.2">
      <c r="A302" s="25"/>
      <c r="B302" s="25"/>
    </row>
    <row r="303" spans="1:2" ht="50" customHeight="1" x14ac:dyDescent="0.2">
      <c r="A303" s="25"/>
      <c r="B303" s="25"/>
    </row>
    <row r="304" spans="1:2" ht="50" customHeight="1" x14ac:dyDescent="0.2">
      <c r="A304" s="25"/>
      <c r="B304" s="25"/>
    </row>
    <row r="305" spans="1:2" ht="50" customHeight="1" x14ac:dyDescent="0.2">
      <c r="A305" s="25"/>
      <c r="B305" s="25"/>
    </row>
    <row r="306" spans="1:2" ht="50" customHeight="1" x14ac:dyDescent="0.2">
      <c r="A306" s="25"/>
      <c r="B306" s="25"/>
    </row>
    <row r="307" spans="1:2" ht="50" customHeight="1" x14ac:dyDescent="0.2">
      <c r="A307" s="25"/>
      <c r="B307" s="25"/>
    </row>
    <row r="308" spans="1:2" ht="50" customHeight="1" x14ac:dyDescent="0.2">
      <c r="A308" s="25"/>
      <c r="B308" s="25"/>
    </row>
    <row r="309" spans="1:2" ht="50" customHeight="1" x14ac:dyDescent="0.2">
      <c r="A309" s="25"/>
      <c r="B309" s="25"/>
    </row>
    <row r="310" spans="1:2" ht="50" customHeight="1" x14ac:dyDescent="0.2">
      <c r="A310" s="25"/>
      <c r="B310" s="25"/>
    </row>
    <row r="311" spans="1:2" ht="50" customHeight="1" x14ac:dyDescent="0.2">
      <c r="A311" s="25"/>
      <c r="B311" s="25"/>
    </row>
    <row r="312" spans="1:2" ht="50" customHeight="1" x14ac:dyDescent="0.2">
      <c r="A312" s="25"/>
      <c r="B312" s="25"/>
    </row>
    <row r="313" spans="1:2" ht="50" customHeight="1" x14ac:dyDescent="0.2">
      <c r="A313" s="25"/>
      <c r="B313" s="25"/>
    </row>
    <row r="314" spans="1:2" ht="50" customHeight="1" x14ac:dyDescent="0.2">
      <c r="A314" s="25"/>
      <c r="B314" s="25"/>
    </row>
    <row r="315" spans="1:2" ht="50" customHeight="1" x14ac:dyDescent="0.2">
      <c r="A315" s="25"/>
      <c r="B315" s="25"/>
    </row>
    <row r="316" spans="1:2" ht="50" customHeight="1" x14ac:dyDescent="0.2">
      <c r="A316" s="25"/>
      <c r="B316" s="25"/>
    </row>
    <row r="317" spans="1:2" ht="50" customHeight="1" x14ac:dyDescent="0.2">
      <c r="A317" s="25"/>
      <c r="B317" s="25"/>
    </row>
    <row r="318" spans="1:2" ht="50" customHeight="1" x14ac:dyDescent="0.2">
      <c r="A318" s="25"/>
      <c r="B318" s="25"/>
    </row>
    <row r="319" spans="1:2" ht="50" customHeight="1" x14ac:dyDescent="0.2">
      <c r="A319" s="25"/>
      <c r="B319" s="25"/>
    </row>
    <row r="320" spans="1:2" ht="50" customHeight="1" x14ac:dyDescent="0.2">
      <c r="A320" s="25"/>
      <c r="B320" s="25"/>
    </row>
    <row r="321" spans="1:2" ht="50" customHeight="1" x14ac:dyDescent="0.2">
      <c r="A321" s="25"/>
      <c r="B321" s="25"/>
    </row>
    <row r="322" spans="1:2" ht="50" customHeight="1" x14ac:dyDescent="0.2">
      <c r="A322" s="25"/>
      <c r="B322" s="25"/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12" max="3" man="1"/>
    <brk id="119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199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</row>
    <row r="9" spans="1:17" s="17" customFormat="1" ht="62" customHeight="1" x14ac:dyDescent="0.2">
      <c r="A9" s="103"/>
      <c r="B9" s="61"/>
      <c r="C9" s="94"/>
      <c r="D9" s="95"/>
      <c r="E9" s="95"/>
      <c r="F9" s="106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</row>
    <row r="10" spans="1:17" s="18" customFormat="1" ht="62" customHeight="1" x14ac:dyDescent="0.2">
      <c r="A10" s="103"/>
      <c r="B10" s="61"/>
      <c r="C10" s="94"/>
      <c r="D10" s="95"/>
      <c r="E10" s="95"/>
      <c r="F10" s="19"/>
      <c r="G10" s="19"/>
      <c r="H10" s="19"/>
      <c r="I10" s="19"/>
      <c r="J10" s="19"/>
      <c r="K10" s="19"/>
      <c r="L10" s="17"/>
      <c r="M10" s="19"/>
      <c r="N10" s="19"/>
      <c r="O10" s="19"/>
      <c r="P10" s="19"/>
      <c r="Q10" s="19"/>
    </row>
    <row r="11" spans="1:17" s="19" customFormat="1" ht="62" customHeight="1" x14ac:dyDescent="0.2">
      <c r="A11" s="103"/>
      <c r="B11" s="61"/>
      <c r="C11" s="94"/>
      <c r="D11" s="95"/>
      <c r="E11" s="95"/>
      <c r="F11" s="17"/>
      <c r="G11" s="17"/>
      <c r="H11" s="17"/>
      <c r="I11" s="17"/>
      <c r="J11" s="17"/>
      <c r="K11" s="17"/>
      <c r="M11" s="17"/>
      <c r="N11" s="17"/>
      <c r="O11" s="17"/>
      <c r="P11" s="17"/>
      <c r="Q11" s="17"/>
    </row>
    <row r="12" spans="1:17" s="19" customFormat="1" ht="62" customHeight="1" x14ac:dyDescent="0.2">
      <c r="A12" s="103"/>
      <c r="B12" s="61"/>
      <c r="C12" s="94"/>
      <c r="D12" s="95"/>
      <c r="E12" s="95"/>
      <c r="F12" s="17"/>
      <c r="G12" s="17"/>
      <c r="H12" s="17"/>
      <c r="I12" s="17"/>
      <c r="J12" s="17"/>
      <c r="K12" s="17"/>
      <c r="M12" s="17"/>
      <c r="N12" s="17"/>
      <c r="O12" s="17"/>
      <c r="P12" s="17"/>
      <c r="Q12" s="17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17" customFormat="1" ht="62" customHeight="1" x14ac:dyDescent="0.2">
      <c r="A15" s="103"/>
      <c r="B15" s="61"/>
      <c r="C15" s="94"/>
      <c r="D15" s="95"/>
      <c r="E15" s="95"/>
    </row>
    <row r="16" spans="1:17" s="17" customFormat="1" ht="62" customHeight="1" x14ac:dyDescent="0.2">
      <c r="A16" s="104"/>
      <c r="B16" s="14"/>
      <c r="C16" s="94"/>
      <c r="D16" s="95"/>
      <c r="E16" s="95"/>
    </row>
    <row r="17" spans="1:7" s="17" customFormat="1" ht="62" customHeight="1" x14ac:dyDescent="0.2">
      <c r="A17" s="104"/>
      <c r="B17" s="14"/>
      <c r="C17" s="94"/>
      <c r="D17" s="95"/>
      <c r="E17" s="95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s="20" customFormat="1" ht="62" customHeight="1" x14ac:dyDescent="0.15">
      <c r="A20" s="104"/>
      <c r="B20" s="14"/>
      <c r="C20" s="94"/>
      <c r="D20" s="21"/>
      <c r="E20" s="21"/>
      <c r="F20" s="107"/>
    </row>
    <row r="21" spans="1:7" s="20" customFormat="1" ht="62" customHeight="1" x14ac:dyDescent="0.15">
      <c r="A21" s="104"/>
      <c r="B21" s="14"/>
      <c r="C21" s="94"/>
      <c r="D21" s="21"/>
      <c r="E21" s="21"/>
      <c r="F21" s="107"/>
    </row>
    <row r="22" spans="1:7" s="20" customFormat="1" ht="62" customHeight="1" x14ac:dyDescent="0.15">
      <c r="A22" s="104"/>
      <c r="B22" s="14"/>
      <c r="C22" s="94"/>
      <c r="D22" s="21"/>
      <c r="E22" s="21"/>
      <c r="F22" s="107"/>
    </row>
    <row r="23" spans="1:7" s="20" customFormat="1" ht="62" customHeight="1" x14ac:dyDescent="0.15">
      <c r="A23" s="104"/>
      <c r="B23" s="14"/>
      <c r="C23" s="94"/>
      <c r="D23" s="21"/>
      <c r="E23" s="21"/>
      <c r="F23" s="107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G34" s="1"/>
    </row>
    <row r="35" spans="1:7" ht="62" customHeight="1" x14ac:dyDescent="0.2">
      <c r="A35" s="104"/>
      <c r="B35" s="14"/>
      <c r="C35" s="96"/>
      <c r="D35" s="21"/>
      <c r="E35" s="21"/>
      <c r="G35" s="1"/>
    </row>
    <row r="36" spans="1:7" ht="62" customHeight="1" x14ac:dyDescent="0.2">
      <c r="A36" s="104"/>
      <c r="B36" s="14"/>
      <c r="C36" s="96"/>
      <c r="D36" s="21"/>
      <c r="E36" s="21"/>
      <c r="G36" s="1"/>
    </row>
    <row r="37" spans="1:7" ht="62" customHeight="1" x14ac:dyDescent="0.2">
      <c r="A37" s="104"/>
      <c r="B37" s="14"/>
      <c r="C37" s="96"/>
      <c r="D37" s="21"/>
      <c r="E37" s="21"/>
      <c r="G37" s="1"/>
    </row>
    <row r="38" spans="1:7" ht="62" customHeight="1" x14ac:dyDescent="0.2">
      <c r="A38" s="104"/>
      <c r="B38" s="14"/>
      <c r="C38" s="94"/>
      <c r="D38" s="21"/>
      <c r="E38" s="21"/>
      <c r="G38" s="1"/>
    </row>
    <row r="39" spans="1:7" ht="62" customHeight="1" x14ac:dyDescent="0.2">
      <c r="A39" s="104"/>
      <c r="B39" s="14"/>
      <c r="C39" s="94"/>
      <c r="D39" s="21"/>
      <c r="E39" s="21"/>
      <c r="G39" s="1"/>
    </row>
    <row r="40" spans="1:7" ht="62" customHeight="1" x14ac:dyDescent="0.2">
      <c r="A40" s="104"/>
      <c r="B40" s="14"/>
      <c r="C40" s="16"/>
      <c r="D40" s="21"/>
      <c r="E40" s="21"/>
      <c r="G40" s="1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  <c r="F91" s="107"/>
    </row>
    <row r="92" spans="1:6" ht="62" customHeight="1" x14ac:dyDescent="0.2">
      <c r="A92" s="104"/>
      <c r="B92" s="14"/>
      <c r="C92" s="96"/>
      <c r="D92" s="21"/>
      <c r="E92" s="21"/>
      <c r="F92" s="107"/>
    </row>
    <row r="93" spans="1:6" ht="62" customHeight="1" x14ac:dyDescent="0.2">
      <c r="A93" s="104"/>
      <c r="B93" s="14"/>
      <c r="C93" s="96"/>
      <c r="D93" s="21"/>
      <c r="E93" s="21"/>
      <c r="F93" s="107"/>
    </row>
    <row r="94" spans="1:6" ht="62" customHeight="1" x14ac:dyDescent="0.2">
      <c r="A94" s="104"/>
      <c r="B94" s="14"/>
      <c r="C94" s="96"/>
      <c r="D94" s="21"/>
      <c r="E94" s="21"/>
      <c r="F94" s="107"/>
    </row>
    <row r="95" spans="1:6" ht="62" customHeight="1" x14ac:dyDescent="0.2">
      <c r="A95" s="104"/>
      <c r="B95" s="14"/>
      <c r="C95" s="96"/>
      <c r="D95" s="21"/>
      <c r="E95" s="21"/>
      <c r="F95" s="107"/>
    </row>
    <row r="96" spans="1:6" ht="62" customHeight="1" x14ac:dyDescent="0.2">
      <c r="A96" s="104"/>
      <c r="B96" s="14"/>
      <c r="C96" s="96"/>
      <c r="D96" s="21"/>
      <c r="E96" s="21"/>
      <c r="F96" s="107"/>
    </row>
    <row r="97" spans="1:6" ht="62" customHeight="1" x14ac:dyDescent="0.2">
      <c r="A97" s="104"/>
      <c r="B97" s="14"/>
      <c r="C97" s="94"/>
      <c r="D97" s="21"/>
      <c r="E97" s="21"/>
      <c r="F97" s="107"/>
    </row>
    <row r="98" spans="1:6" ht="62" customHeight="1" x14ac:dyDescent="0.2">
      <c r="A98" s="104"/>
      <c r="B98" s="14"/>
      <c r="C98" s="94"/>
      <c r="D98" s="21"/>
      <c r="E98" s="21"/>
      <c r="F98" s="107"/>
    </row>
    <row r="99" spans="1:6" ht="62" customHeight="1" x14ac:dyDescent="0.2">
      <c r="A99" s="104"/>
      <c r="B99" s="14"/>
      <c r="C99" s="16"/>
      <c r="D99" s="21"/>
      <c r="E99" s="21"/>
    </row>
    <row r="100" spans="1:6" ht="62" customHeight="1" x14ac:dyDescent="0.2">
      <c r="A100" s="104"/>
      <c r="B100" s="14"/>
      <c r="C100" s="15"/>
      <c r="D100" s="21"/>
      <c r="E100" s="21"/>
    </row>
    <row r="101" spans="1:6" ht="62" customHeight="1" x14ac:dyDescent="0.2">
      <c r="A101" s="104"/>
      <c r="B101" s="14"/>
      <c r="C101" s="16"/>
      <c r="D101" s="21"/>
      <c r="E101" s="21"/>
    </row>
    <row r="102" spans="1:6" ht="62" customHeight="1" x14ac:dyDescent="0.2">
      <c r="A102" s="104"/>
      <c r="B102" s="14"/>
      <c r="C102" s="16"/>
      <c r="D102" s="21"/>
      <c r="E102" s="21"/>
    </row>
    <row r="103" spans="1:6" ht="62" customHeight="1" x14ac:dyDescent="0.2">
      <c r="A103" s="104"/>
      <c r="B103" s="14"/>
      <c r="C103" s="16"/>
      <c r="D103" s="21"/>
      <c r="E103" s="21"/>
    </row>
    <row r="104" spans="1:6" ht="62" customHeight="1" x14ac:dyDescent="0.2">
      <c r="A104" s="104"/>
      <c r="B104" s="14"/>
      <c r="C104" s="16"/>
      <c r="D104" s="21"/>
      <c r="E104" s="21"/>
    </row>
    <row r="105" spans="1:6" ht="62" customHeight="1" x14ac:dyDescent="0.2">
      <c r="A105" s="104"/>
      <c r="B105" s="14"/>
      <c r="C105" s="16"/>
      <c r="D105" s="21"/>
      <c r="E105" s="21"/>
    </row>
    <row r="106" spans="1:6" ht="62" customHeight="1" x14ac:dyDescent="0.2">
      <c r="A106" s="104"/>
      <c r="B106" s="14"/>
      <c r="C106" s="16"/>
      <c r="D106" s="21"/>
      <c r="E106" s="21"/>
    </row>
    <row r="107" spans="1:6" ht="62" customHeight="1" x14ac:dyDescent="0.2">
      <c r="A107" s="104"/>
      <c r="B107" s="14"/>
      <c r="C107" s="16"/>
      <c r="D107" s="21"/>
      <c r="E107" s="21"/>
    </row>
    <row r="108" spans="1:6" ht="62" customHeight="1" x14ac:dyDescent="0.2">
      <c r="A108" s="104"/>
      <c r="B108" s="14"/>
      <c r="C108" s="16"/>
      <c r="D108" s="21"/>
      <c r="E108" s="21"/>
    </row>
    <row r="109" spans="1:6" ht="62" customHeight="1" x14ac:dyDescent="0.2">
      <c r="A109" s="104"/>
      <c r="B109" s="14"/>
      <c r="C109" s="16"/>
      <c r="D109" s="21"/>
      <c r="E109" s="21"/>
    </row>
    <row r="110" spans="1:6" ht="62" customHeight="1" x14ac:dyDescent="0.2">
      <c r="A110" s="104"/>
      <c r="B110" s="14"/>
      <c r="C110" s="16"/>
      <c r="D110" s="21"/>
      <c r="E110" s="21"/>
    </row>
    <row r="111" spans="1:6" ht="62" customHeight="1" x14ac:dyDescent="0.2">
      <c r="A111" s="104"/>
      <c r="B111" s="14"/>
      <c r="C111" s="16"/>
      <c r="D111" s="21"/>
      <c r="E111" s="21"/>
    </row>
    <row r="112" spans="1:6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4"/>
      <c r="E184" s="24"/>
    </row>
    <row r="185" spans="1:5" ht="62" customHeight="1" x14ac:dyDescent="0.2">
      <c r="D185" s="24"/>
      <c r="E185" s="24"/>
    </row>
    <row r="186" spans="1:5" ht="62" customHeight="1" x14ac:dyDescent="0.2">
      <c r="D186" s="24"/>
      <c r="E186" s="24"/>
    </row>
    <row r="187" spans="1:5" ht="62" customHeight="1" x14ac:dyDescent="0.2">
      <c r="D187" s="24"/>
      <c r="E187" s="24"/>
    </row>
    <row r="188" spans="1:5" ht="62" customHeight="1" x14ac:dyDescent="0.2">
      <c r="D188" s="24"/>
      <c r="E188" s="24"/>
    </row>
    <row r="189" spans="1:5" ht="62" customHeight="1" x14ac:dyDescent="0.2">
      <c r="D189" s="24"/>
      <c r="E189" s="24"/>
    </row>
    <row r="190" spans="1:5" ht="62" customHeight="1" x14ac:dyDescent="0.2">
      <c r="D190" s="24"/>
      <c r="E190" s="24"/>
    </row>
    <row r="191" spans="1:5" ht="62" customHeight="1" x14ac:dyDescent="0.2">
      <c r="D191" s="24"/>
      <c r="E191" s="24"/>
    </row>
    <row r="192" spans="1:5" ht="62" customHeight="1" x14ac:dyDescent="0.2">
      <c r="D192" s="24"/>
      <c r="E192" s="24"/>
    </row>
    <row r="193" spans="4:5" ht="62" customHeight="1" x14ac:dyDescent="0.2">
      <c r="D193" s="24"/>
      <c r="E193" s="24"/>
    </row>
    <row r="194" spans="4:5" x14ac:dyDescent="0.2">
      <c r="D194" s="24"/>
      <c r="E194" s="24"/>
    </row>
    <row r="195" spans="4:5" x14ac:dyDescent="0.2">
      <c r="D195" s="24"/>
      <c r="E195" s="24"/>
    </row>
    <row r="196" spans="4:5" x14ac:dyDescent="0.2">
      <c r="D196" s="24"/>
      <c r="E196" s="24"/>
    </row>
    <row r="197" spans="4:5" x14ac:dyDescent="0.2">
      <c r="D197" s="24"/>
      <c r="E197" s="24"/>
    </row>
    <row r="198" spans="4:5" x14ac:dyDescent="0.2">
      <c r="D198" s="24"/>
      <c r="E198" s="24"/>
    </row>
    <row r="199" spans="4:5" x14ac:dyDescent="0.2">
      <c r="D199" s="24"/>
      <c r="E199" s="24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3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83203125" style="1" customWidth="1"/>
    <col min="4" max="4" width="66.1640625" style="3" customWidth="1"/>
    <col min="5" max="5" width="86.33203125" style="3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COUNTA(E7:E13511)</f>
        <v>0</v>
      </c>
      <c r="E3" s="1"/>
    </row>
    <row r="4" spans="1:17" ht="47.5" customHeight="1" x14ac:dyDescent="0.2">
      <c r="A4" s="1"/>
      <c r="C4" s="2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  <c r="F7" s="106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</row>
    <row r="8" spans="1:17" s="17" customFormat="1" ht="62" customHeight="1" x14ac:dyDescent="0.2">
      <c r="A8" s="103"/>
      <c r="B8" s="61"/>
      <c r="C8" s="94"/>
      <c r="D8" s="95"/>
      <c r="E8" s="95"/>
      <c r="F8" s="106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19" customFormat="1" ht="62" customHeight="1" x14ac:dyDescent="0.2">
      <c r="A9" s="103"/>
      <c r="B9" s="61"/>
      <c r="C9" s="94"/>
      <c r="D9" s="95"/>
      <c r="E9" s="95"/>
      <c r="F9" s="17"/>
      <c r="G9" s="17"/>
      <c r="H9" s="17"/>
      <c r="I9" s="17"/>
      <c r="J9" s="17"/>
      <c r="K9" s="17"/>
      <c r="M9" s="17"/>
      <c r="N9" s="17"/>
      <c r="O9" s="17"/>
      <c r="P9" s="17"/>
      <c r="Q9" s="17"/>
    </row>
    <row r="10" spans="1:17" s="17" customFormat="1" ht="62" customHeight="1" x14ac:dyDescent="0.2">
      <c r="A10" s="103"/>
      <c r="B10" s="61"/>
      <c r="C10" s="94"/>
      <c r="D10" s="95"/>
      <c r="E10" s="95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17" customFormat="1" ht="62" customHeight="1" x14ac:dyDescent="0.2">
      <c r="A15" s="103"/>
      <c r="B15" s="61"/>
      <c r="C15" s="94"/>
      <c r="D15" s="95"/>
      <c r="E15" s="95"/>
    </row>
    <row r="16" spans="1:17" s="17" customFormat="1" ht="62" customHeight="1" x14ac:dyDescent="0.2">
      <c r="A16" s="104"/>
      <c r="B16" s="14"/>
      <c r="C16" s="94"/>
      <c r="D16" s="95"/>
      <c r="E16" s="95"/>
    </row>
    <row r="17" spans="1:8" s="17" customFormat="1" ht="62" customHeight="1" x14ac:dyDescent="0.2">
      <c r="A17" s="104"/>
      <c r="B17" s="14"/>
      <c r="C17" s="94"/>
      <c r="D17" s="95"/>
      <c r="E17" s="95"/>
    </row>
    <row r="18" spans="1:8" s="20" customFormat="1" ht="62" customHeight="1" x14ac:dyDescent="0.15">
      <c r="A18" s="104"/>
      <c r="B18" s="14"/>
      <c r="C18" s="94"/>
      <c r="D18" s="21"/>
      <c r="E18" s="21"/>
      <c r="F18" s="107"/>
    </row>
    <row r="19" spans="1:8" s="20" customFormat="1" ht="62" customHeight="1" x14ac:dyDescent="0.15">
      <c r="A19" s="104"/>
      <c r="B19" s="14"/>
      <c r="C19" s="94"/>
      <c r="D19" s="21"/>
      <c r="E19" s="21"/>
      <c r="F19" s="17"/>
    </row>
    <row r="20" spans="1:8" s="20" customFormat="1" ht="62" customHeight="1" x14ac:dyDescent="0.15">
      <c r="A20" s="104"/>
      <c r="B20" s="14"/>
      <c r="C20" s="94"/>
      <c r="D20" s="21"/>
      <c r="E20" s="21"/>
      <c r="F20" s="17"/>
    </row>
    <row r="21" spans="1:8" s="20" customFormat="1" ht="62" customHeight="1" x14ac:dyDescent="0.15">
      <c r="A21" s="104"/>
      <c r="B21" s="14"/>
      <c r="C21" s="94"/>
      <c r="D21" s="21"/>
      <c r="E21" s="21"/>
      <c r="F21" s="107"/>
    </row>
    <row r="22" spans="1:8" s="20" customFormat="1" ht="62" customHeight="1" x14ac:dyDescent="0.15">
      <c r="A22" s="104"/>
      <c r="B22" s="14"/>
      <c r="C22" s="94"/>
      <c r="D22" s="21"/>
      <c r="E22" s="21"/>
      <c r="F22" s="107"/>
    </row>
    <row r="23" spans="1:8" s="20" customFormat="1" ht="62" customHeight="1" x14ac:dyDescent="0.15">
      <c r="A23" s="104"/>
      <c r="B23" s="14"/>
      <c r="C23" s="94"/>
      <c r="D23" s="21"/>
      <c r="E23" s="21"/>
      <c r="F23" s="107"/>
    </row>
    <row r="24" spans="1:8" s="20" customFormat="1" ht="62" customHeight="1" x14ac:dyDescent="0.15">
      <c r="A24" s="104"/>
      <c r="B24" s="14"/>
      <c r="C24" s="96"/>
      <c r="D24" s="21"/>
      <c r="E24" s="21"/>
      <c r="F24" s="107"/>
    </row>
    <row r="25" spans="1:8" s="20" customFormat="1" ht="62" customHeight="1" x14ac:dyDescent="0.15">
      <c r="A25" s="104"/>
      <c r="B25" s="14"/>
      <c r="C25" s="94"/>
      <c r="D25" s="21"/>
      <c r="E25" s="21"/>
      <c r="F25" s="107"/>
    </row>
    <row r="26" spans="1:8" s="20" customFormat="1" ht="62" customHeight="1" x14ac:dyDescent="0.15">
      <c r="A26" s="104"/>
      <c r="B26" s="14"/>
      <c r="C26" s="96"/>
      <c r="D26" s="21"/>
      <c r="E26" s="21"/>
      <c r="F26" s="107"/>
    </row>
    <row r="27" spans="1:8" s="20" customFormat="1" ht="62" customHeight="1" x14ac:dyDescent="0.15">
      <c r="A27" s="104"/>
      <c r="B27" s="14"/>
      <c r="C27" s="96"/>
      <c r="D27" s="21"/>
      <c r="E27" s="21"/>
      <c r="F27" s="107"/>
    </row>
    <row r="28" spans="1:8" ht="62" customHeight="1" x14ac:dyDescent="0.2">
      <c r="A28" s="104"/>
      <c r="B28" s="14"/>
      <c r="C28" s="94"/>
      <c r="D28" s="21"/>
      <c r="E28" s="21"/>
      <c r="G28" s="1"/>
    </row>
    <row r="29" spans="1:8" ht="62" customHeight="1" x14ac:dyDescent="0.2">
      <c r="A29" s="104"/>
      <c r="B29" s="14"/>
      <c r="C29" s="94"/>
      <c r="D29" s="21"/>
      <c r="E29" s="21"/>
      <c r="G29" s="1"/>
    </row>
    <row r="30" spans="1:8" ht="62" customHeight="1" x14ac:dyDescent="0.2">
      <c r="A30" s="104"/>
      <c r="B30" s="14"/>
      <c r="C30" s="15"/>
      <c r="D30" s="21"/>
      <c r="E30" s="21"/>
      <c r="G30" s="1"/>
    </row>
    <row r="31" spans="1:8" ht="62" customHeight="1" x14ac:dyDescent="0.4">
      <c r="A31" s="104"/>
      <c r="B31" s="14"/>
      <c r="C31" s="94"/>
      <c r="D31" s="21"/>
      <c r="E31" s="21"/>
      <c r="F31" s="108"/>
      <c r="G31" s="109"/>
      <c r="H31" s="109"/>
    </row>
    <row r="32" spans="1:8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G34" s="1"/>
    </row>
    <row r="35" spans="1:7" ht="62" customHeight="1" x14ac:dyDescent="0.2">
      <c r="A35" s="104"/>
      <c r="B35" s="14"/>
      <c r="C35" s="96"/>
      <c r="D35" s="21"/>
      <c r="E35" s="21"/>
      <c r="G35" s="1"/>
    </row>
    <row r="36" spans="1:7" ht="62" customHeight="1" x14ac:dyDescent="0.2">
      <c r="A36" s="104"/>
      <c r="B36" s="14"/>
      <c r="C36" s="96"/>
      <c r="D36" s="21"/>
      <c r="E36" s="21"/>
      <c r="G36" s="1"/>
    </row>
    <row r="37" spans="1:7" ht="62" customHeight="1" x14ac:dyDescent="0.2">
      <c r="A37" s="104"/>
      <c r="B37" s="14"/>
      <c r="C37" s="96"/>
      <c r="D37" s="21"/>
      <c r="E37" s="21"/>
      <c r="G37" s="1"/>
    </row>
    <row r="38" spans="1:7" ht="62" customHeight="1" x14ac:dyDescent="0.2">
      <c r="A38" s="104"/>
      <c r="B38" s="14"/>
      <c r="C38" s="94"/>
      <c r="D38" s="21"/>
      <c r="E38" s="21"/>
      <c r="G38" s="1"/>
    </row>
    <row r="39" spans="1:7" ht="62" customHeight="1" x14ac:dyDescent="0.2">
      <c r="A39" s="104"/>
      <c r="B39" s="14"/>
      <c r="C39" s="94"/>
      <c r="D39" s="21"/>
      <c r="E39" s="21"/>
      <c r="G39" s="1"/>
    </row>
    <row r="40" spans="1:7" ht="62" customHeight="1" x14ac:dyDescent="0.2">
      <c r="A40" s="104"/>
      <c r="B40" s="14"/>
      <c r="C40" s="16"/>
      <c r="D40" s="21"/>
      <c r="E40" s="21"/>
      <c r="G40" s="1"/>
    </row>
    <row r="41" spans="1:7" ht="62" customHeight="1" x14ac:dyDescent="0.2">
      <c r="A41" s="104"/>
      <c r="B41" s="14"/>
      <c r="C41" s="15"/>
      <c r="D41" s="21"/>
      <c r="E41" s="21"/>
      <c r="G41" s="1"/>
    </row>
    <row r="42" spans="1:7" ht="62" customHeight="1" x14ac:dyDescent="0.2">
      <c r="A42" s="104"/>
      <c r="B42" s="14"/>
      <c r="C42" s="16"/>
      <c r="D42" s="21"/>
      <c r="E42" s="21"/>
      <c r="G42" s="1"/>
    </row>
    <row r="43" spans="1:7" ht="62" customHeight="1" x14ac:dyDescent="0.2">
      <c r="A43" s="104"/>
      <c r="B43" s="14"/>
      <c r="C43" s="16"/>
      <c r="D43" s="21"/>
      <c r="E43" s="21"/>
      <c r="G43" s="1"/>
    </row>
    <row r="44" spans="1:7" ht="62" customHeight="1" x14ac:dyDescent="0.2">
      <c r="A44" s="104"/>
      <c r="B44" s="14"/>
      <c r="C44" s="16"/>
      <c r="D44" s="21"/>
      <c r="E44" s="21"/>
      <c r="G44" s="1"/>
    </row>
    <row r="45" spans="1:7" ht="62" customHeight="1" x14ac:dyDescent="0.2">
      <c r="A45" s="104"/>
      <c r="B45" s="14"/>
      <c r="C45" s="16"/>
      <c r="D45" s="21"/>
      <c r="E45" s="21"/>
      <c r="G45" s="1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  <c r="F91" s="107"/>
    </row>
    <row r="92" spans="1:6" ht="62" customHeight="1" x14ac:dyDescent="0.2">
      <c r="A92" s="104"/>
      <c r="B92" s="14"/>
      <c r="C92" s="96"/>
      <c r="D92" s="21"/>
      <c r="E92" s="21"/>
      <c r="F92" s="107"/>
    </row>
    <row r="93" spans="1:6" ht="62" customHeight="1" x14ac:dyDescent="0.2">
      <c r="A93" s="104"/>
      <c r="B93" s="14"/>
      <c r="C93" s="96"/>
      <c r="D93" s="21"/>
      <c r="E93" s="21"/>
      <c r="F93" s="107"/>
    </row>
    <row r="94" spans="1:6" ht="62" customHeight="1" x14ac:dyDescent="0.2">
      <c r="A94" s="104"/>
      <c r="B94" s="14"/>
      <c r="C94" s="96"/>
      <c r="D94" s="21"/>
      <c r="E94" s="21"/>
      <c r="F94" s="107"/>
    </row>
    <row r="95" spans="1:6" ht="62" customHeight="1" x14ac:dyDescent="0.2">
      <c r="A95" s="104"/>
      <c r="B95" s="14"/>
      <c r="C95" s="96"/>
      <c r="D95" s="21"/>
      <c r="E95" s="21"/>
      <c r="F95" s="107"/>
    </row>
    <row r="96" spans="1:6" ht="62" customHeight="1" x14ac:dyDescent="0.2">
      <c r="A96" s="104"/>
      <c r="B96" s="14"/>
      <c r="C96" s="96"/>
      <c r="D96" s="21"/>
      <c r="E96" s="21"/>
      <c r="F96" s="107"/>
    </row>
    <row r="97" spans="1:6" ht="62" customHeight="1" x14ac:dyDescent="0.2">
      <c r="A97" s="104"/>
      <c r="B97" s="14"/>
      <c r="C97" s="94"/>
      <c r="D97" s="21"/>
      <c r="E97" s="21"/>
      <c r="F97" s="107"/>
    </row>
    <row r="98" spans="1:6" ht="62" customHeight="1" x14ac:dyDescent="0.2">
      <c r="A98" s="104"/>
      <c r="B98" s="14"/>
      <c r="C98" s="94"/>
      <c r="D98" s="21"/>
      <c r="E98" s="21"/>
      <c r="F98" s="107"/>
    </row>
    <row r="99" spans="1:6" ht="62" customHeight="1" x14ac:dyDescent="0.2">
      <c r="A99" s="104"/>
      <c r="B99" s="14"/>
      <c r="C99" s="16"/>
      <c r="D99" s="21"/>
      <c r="E99" s="21"/>
      <c r="F99" s="107"/>
    </row>
    <row r="100" spans="1:6" ht="62" customHeight="1" x14ac:dyDescent="0.2">
      <c r="A100" s="104"/>
      <c r="B100" s="14"/>
      <c r="C100" s="15"/>
      <c r="D100" s="21"/>
      <c r="E100" s="21"/>
      <c r="F100" s="107"/>
    </row>
    <row r="101" spans="1:6" ht="62" customHeight="1" x14ac:dyDescent="0.2">
      <c r="A101" s="104"/>
      <c r="B101" s="14"/>
      <c r="C101" s="16"/>
      <c r="D101" s="21"/>
      <c r="E101" s="21"/>
      <c r="F101" s="107"/>
    </row>
    <row r="102" spans="1:6" ht="62" customHeight="1" x14ac:dyDescent="0.2">
      <c r="A102" s="104"/>
      <c r="B102" s="14"/>
      <c r="C102" s="16"/>
      <c r="D102" s="21"/>
      <c r="E102" s="21"/>
      <c r="F102" s="107"/>
    </row>
    <row r="103" spans="1:6" ht="62" customHeight="1" x14ac:dyDescent="0.2">
      <c r="A103" s="104"/>
      <c r="B103" s="14"/>
      <c r="C103" s="16"/>
      <c r="D103" s="21"/>
      <c r="E103" s="21"/>
    </row>
    <row r="104" spans="1:6" ht="62" customHeight="1" x14ac:dyDescent="0.2">
      <c r="A104" s="104"/>
      <c r="B104" s="14"/>
      <c r="C104" s="16"/>
      <c r="D104" s="21"/>
      <c r="E104" s="21"/>
    </row>
    <row r="105" spans="1:6" ht="62" customHeight="1" x14ac:dyDescent="0.2">
      <c r="A105" s="104"/>
      <c r="B105" s="14"/>
      <c r="C105" s="16"/>
      <c r="D105" s="21"/>
      <c r="E105" s="21"/>
    </row>
    <row r="106" spans="1:6" ht="62" customHeight="1" x14ac:dyDescent="0.2">
      <c r="A106" s="104"/>
      <c r="B106" s="14"/>
      <c r="C106" s="16"/>
      <c r="D106" s="21"/>
      <c r="E106" s="21"/>
    </row>
    <row r="107" spans="1:6" ht="62" customHeight="1" x14ac:dyDescent="0.2">
      <c r="A107" s="104"/>
      <c r="B107" s="14"/>
      <c r="C107" s="16"/>
      <c r="D107" s="21"/>
      <c r="E107" s="21"/>
    </row>
    <row r="108" spans="1:6" ht="62" customHeight="1" x14ac:dyDescent="0.2">
      <c r="A108" s="104"/>
      <c r="B108" s="14"/>
      <c r="C108" s="16"/>
      <c r="D108" s="21"/>
      <c r="E108" s="21"/>
    </row>
    <row r="109" spans="1:6" ht="62" customHeight="1" x14ac:dyDescent="0.2">
      <c r="A109" s="104"/>
      <c r="B109" s="14"/>
      <c r="C109" s="16"/>
      <c r="D109" s="21"/>
      <c r="E109" s="21"/>
    </row>
    <row r="110" spans="1:6" ht="62" customHeight="1" x14ac:dyDescent="0.2">
      <c r="A110" s="104"/>
      <c r="B110" s="14"/>
      <c r="C110" s="16"/>
      <c r="D110" s="21"/>
      <c r="E110" s="21"/>
    </row>
    <row r="111" spans="1:6" ht="62" customHeight="1" x14ac:dyDescent="0.2">
      <c r="A111" s="104"/>
      <c r="B111" s="14"/>
      <c r="C111" s="16"/>
      <c r="D111" s="21"/>
      <c r="E111" s="21"/>
    </row>
    <row r="112" spans="1:6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4"/>
      <c r="E184" s="24"/>
    </row>
    <row r="185" spans="1:5" ht="62" customHeight="1" x14ac:dyDescent="0.2">
      <c r="D185" s="24"/>
      <c r="E185" s="24"/>
    </row>
    <row r="186" spans="1:5" ht="62" customHeight="1" x14ac:dyDescent="0.2">
      <c r="D186" s="24"/>
      <c r="E186" s="24"/>
    </row>
    <row r="187" spans="1:5" ht="62" customHeight="1" x14ac:dyDescent="0.2">
      <c r="D187" s="24"/>
      <c r="E187" s="24"/>
    </row>
    <row r="188" spans="1:5" ht="62" customHeight="1" x14ac:dyDescent="0.2">
      <c r="D188" s="24"/>
      <c r="E188" s="24"/>
    </row>
    <row r="189" spans="1:5" ht="62" customHeight="1" x14ac:dyDescent="0.2">
      <c r="D189" s="24"/>
      <c r="E189" s="24"/>
    </row>
    <row r="190" spans="1:5" ht="62" customHeight="1" x14ac:dyDescent="0.2">
      <c r="D190" s="24"/>
      <c r="E190" s="24"/>
    </row>
    <row r="191" spans="1:5" ht="62" customHeight="1" x14ac:dyDescent="0.2">
      <c r="D191" s="24"/>
      <c r="E191" s="24"/>
    </row>
    <row r="192" spans="1:5" ht="62" customHeight="1" x14ac:dyDescent="0.2">
      <c r="D192" s="24"/>
      <c r="E192" s="24"/>
    </row>
    <row r="193" spans="4:5" ht="62" customHeight="1" x14ac:dyDescent="0.2">
      <c r="D193" s="24"/>
      <c r="E193" s="24"/>
    </row>
    <row r="194" spans="4:5" ht="62" customHeight="1" x14ac:dyDescent="0.2">
      <c r="D194" s="24"/>
      <c r="E194" s="24"/>
    </row>
    <row r="195" spans="4:5" ht="62" customHeight="1" x14ac:dyDescent="0.2">
      <c r="D195" s="24"/>
      <c r="E195" s="24"/>
    </row>
    <row r="196" spans="4:5" ht="62" customHeight="1" x14ac:dyDescent="0.2">
      <c r="D196" s="24"/>
      <c r="E196" s="24"/>
    </row>
    <row r="197" spans="4:5" ht="62" customHeight="1" x14ac:dyDescent="0.2">
      <c r="D197" s="24"/>
      <c r="E197" s="24"/>
    </row>
    <row r="198" spans="4:5" x14ac:dyDescent="0.2">
      <c r="D198" s="24"/>
      <c r="E198" s="24"/>
    </row>
    <row r="199" spans="4:5" x14ac:dyDescent="0.2">
      <c r="D199" s="24"/>
      <c r="E199" s="24"/>
    </row>
    <row r="200" spans="4:5" x14ac:dyDescent="0.2">
      <c r="D200" s="24"/>
      <c r="E200" s="24"/>
    </row>
    <row r="201" spans="4:5" x14ac:dyDescent="0.2">
      <c r="D201" s="24"/>
      <c r="E201" s="24"/>
    </row>
    <row r="202" spans="4:5" x14ac:dyDescent="0.2">
      <c r="D202" s="24"/>
      <c r="E202" s="24"/>
    </row>
    <row r="203" spans="4:5" x14ac:dyDescent="0.2">
      <c r="D203" s="24"/>
      <c r="E203" s="24"/>
    </row>
  </sheetData>
  <mergeCells count="1">
    <mergeCell ref="F31:H31"/>
  </mergeCells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197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COUNTA(E7:E13511)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</row>
    <row r="9" spans="1:17" s="17" customFormat="1" ht="62" customHeight="1" x14ac:dyDescent="0.2">
      <c r="A9" s="103"/>
      <c r="B9" s="61"/>
      <c r="C9" s="94"/>
      <c r="D9" s="95"/>
      <c r="E9" s="95"/>
    </row>
    <row r="10" spans="1:17" s="17" customFormat="1" ht="62" customHeight="1" x14ac:dyDescent="0.2">
      <c r="A10" s="103"/>
      <c r="B10" s="61"/>
      <c r="C10" s="94"/>
      <c r="D10" s="95"/>
      <c r="E10" s="95"/>
      <c r="F10" s="106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spans="1:17" s="18" customFormat="1" ht="62" customHeight="1" x14ac:dyDescent="0.2">
      <c r="A11" s="103"/>
      <c r="B11" s="61"/>
      <c r="C11" s="94"/>
      <c r="D11" s="95"/>
      <c r="E11" s="95"/>
      <c r="F11" s="19"/>
      <c r="G11" s="19"/>
      <c r="H11" s="19"/>
      <c r="I11" s="19"/>
      <c r="J11" s="19"/>
      <c r="K11" s="19"/>
      <c r="L11" s="17"/>
      <c r="M11" s="19"/>
      <c r="N11" s="19"/>
      <c r="O11" s="19"/>
      <c r="P11" s="19"/>
      <c r="Q11" s="19"/>
    </row>
    <row r="12" spans="1:17" s="19" customFormat="1" ht="62" customHeight="1" x14ac:dyDescent="0.2">
      <c r="A12" s="103"/>
      <c r="B12" s="61"/>
      <c r="C12" s="94"/>
      <c r="D12" s="95"/>
      <c r="E12" s="95"/>
      <c r="F12" s="17"/>
      <c r="G12" s="17"/>
      <c r="H12" s="17"/>
      <c r="I12" s="17"/>
      <c r="J12" s="17"/>
      <c r="K12" s="17"/>
      <c r="M12" s="17"/>
      <c r="N12" s="17"/>
      <c r="O12" s="17"/>
      <c r="P12" s="17"/>
      <c r="Q12" s="17"/>
    </row>
    <row r="13" spans="1:17" s="19" customFormat="1" ht="62" customHeight="1" x14ac:dyDescent="0.2">
      <c r="A13" s="103"/>
      <c r="B13" s="61"/>
      <c r="C13" s="94"/>
      <c r="D13" s="95"/>
      <c r="E13" s="95"/>
      <c r="F13" s="17"/>
      <c r="G13" s="17"/>
      <c r="H13" s="17"/>
      <c r="I13" s="17"/>
      <c r="J13" s="17"/>
      <c r="K13" s="17"/>
      <c r="M13" s="17"/>
      <c r="N13" s="17"/>
      <c r="O13" s="17"/>
      <c r="P13" s="17"/>
      <c r="Q13" s="17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17" customFormat="1" ht="62" customHeight="1" x14ac:dyDescent="0.2">
      <c r="A15" s="103"/>
      <c r="B15" s="61"/>
      <c r="C15" s="94"/>
      <c r="D15" s="95"/>
      <c r="E15" s="95"/>
    </row>
    <row r="16" spans="1:17" s="17" customFormat="1" ht="62" customHeight="1" x14ac:dyDescent="0.2">
      <c r="A16" s="104"/>
      <c r="B16" s="14"/>
      <c r="C16" s="94"/>
      <c r="D16" s="95"/>
      <c r="E16" s="95"/>
    </row>
    <row r="17" spans="1:7" s="17" customFormat="1" ht="62" customHeight="1" x14ac:dyDescent="0.2">
      <c r="A17" s="104"/>
      <c r="B17" s="14"/>
      <c r="C17" s="94"/>
      <c r="D17" s="95"/>
      <c r="E17" s="95"/>
    </row>
    <row r="18" spans="1:7" s="17" customFormat="1" ht="62" customHeight="1" x14ac:dyDescent="0.2">
      <c r="A18" s="104"/>
      <c r="B18" s="14"/>
      <c r="C18" s="94"/>
      <c r="D18" s="21"/>
      <c r="E18" s="21"/>
    </row>
    <row r="19" spans="1:7" s="17" customFormat="1" ht="62" customHeight="1" x14ac:dyDescent="0.2">
      <c r="A19" s="104"/>
      <c r="B19" s="14"/>
      <c r="C19" s="94"/>
      <c r="D19" s="21"/>
      <c r="E19" s="21"/>
    </row>
    <row r="20" spans="1:7" s="17" customFormat="1" ht="62" customHeight="1" x14ac:dyDescent="0.2">
      <c r="A20" s="104"/>
      <c r="B20" s="14"/>
      <c r="C20" s="94"/>
      <c r="D20" s="21"/>
      <c r="E20" s="21"/>
    </row>
    <row r="21" spans="1:7" s="20" customFormat="1" ht="62" customHeight="1" x14ac:dyDescent="0.15">
      <c r="A21" s="104"/>
      <c r="B21" s="14"/>
      <c r="C21" s="94"/>
      <c r="D21" s="21"/>
      <c r="E21" s="21"/>
      <c r="F21" s="107"/>
    </row>
    <row r="22" spans="1:7" s="20" customFormat="1" ht="62" customHeight="1" x14ac:dyDescent="0.15">
      <c r="A22" s="104"/>
      <c r="B22" s="14"/>
      <c r="C22" s="94"/>
      <c r="D22" s="21"/>
      <c r="E22" s="21"/>
      <c r="F22" s="107"/>
    </row>
    <row r="23" spans="1:7" s="20" customFormat="1" ht="62" customHeight="1" x14ac:dyDescent="0.15">
      <c r="A23" s="104"/>
      <c r="B23" s="14"/>
      <c r="C23" s="94"/>
      <c r="D23" s="21"/>
      <c r="E23" s="21"/>
      <c r="F23" s="107"/>
    </row>
    <row r="24" spans="1:7" s="20" customFormat="1" ht="62" customHeight="1" x14ac:dyDescent="0.15">
      <c r="A24" s="104"/>
      <c r="B24" s="14"/>
      <c r="C24" s="96"/>
      <c r="D24" s="21"/>
      <c r="E24" s="21"/>
      <c r="F24" s="107"/>
    </row>
    <row r="25" spans="1:7" s="20" customFormat="1" ht="62" customHeight="1" x14ac:dyDescent="0.15">
      <c r="A25" s="104"/>
      <c r="B25" s="14"/>
      <c r="C25" s="94"/>
      <c r="D25" s="21"/>
      <c r="E25" s="21"/>
      <c r="F25" s="107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G34" s="1"/>
    </row>
    <row r="35" spans="1:7" ht="62" customHeight="1" x14ac:dyDescent="0.2">
      <c r="A35" s="104"/>
      <c r="B35" s="14"/>
      <c r="C35" s="96"/>
      <c r="D35" s="21"/>
      <c r="E35" s="21"/>
      <c r="G35" s="1"/>
    </row>
    <row r="36" spans="1:7" ht="62" customHeight="1" x14ac:dyDescent="0.2">
      <c r="A36" s="104"/>
      <c r="B36" s="14"/>
      <c r="C36" s="96"/>
      <c r="D36" s="21"/>
      <c r="E36" s="21"/>
      <c r="G36" s="1"/>
    </row>
    <row r="37" spans="1:7" ht="62" customHeight="1" x14ac:dyDescent="0.2">
      <c r="A37" s="104"/>
      <c r="B37" s="14"/>
      <c r="C37" s="96"/>
      <c r="D37" s="21"/>
      <c r="E37" s="21"/>
      <c r="G37" s="1"/>
    </row>
    <row r="38" spans="1:7" ht="62" customHeight="1" x14ac:dyDescent="0.2">
      <c r="A38" s="104"/>
      <c r="B38" s="14"/>
      <c r="C38" s="94"/>
      <c r="D38" s="21"/>
      <c r="E38" s="21"/>
      <c r="G38" s="1"/>
    </row>
    <row r="39" spans="1:7" ht="62" customHeight="1" x14ac:dyDescent="0.2">
      <c r="A39" s="104"/>
      <c r="B39" s="14"/>
      <c r="C39" s="94"/>
      <c r="D39" s="21"/>
      <c r="E39" s="21"/>
      <c r="G39" s="1"/>
    </row>
    <row r="40" spans="1:7" ht="62" customHeight="1" x14ac:dyDescent="0.2">
      <c r="A40" s="104"/>
      <c r="B40" s="14"/>
      <c r="C40" s="16"/>
      <c r="D40" s="21"/>
      <c r="E40" s="21"/>
      <c r="F40" s="107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  <c r="F91" s="107"/>
    </row>
    <row r="92" spans="1:6" ht="62" customHeight="1" x14ac:dyDescent="0.2">
      <c r="A92" s="104"/>
      <c r="B92" s="14"/>
      <c r="C92" s="96"/>
      <c r="D92" s="21"/>
      <c r="E92" s="21"/>
      <c r="F92" s="107"/>
    </row>
    <row r="93" spans="1:6" ht="62" customHeight="1" x14ac:dyDescent="0.2">
      <c r="A93" s="104"/>
      <c r="B93" s="14"/>
      <c r="C93" s="96"/>
      <c r="D93" s="21"/>
      <c r="E93" s="21"/>
      <c r="F93" s="107"/>
    </row>
    <row r="94" spans="1:6" ht="62" customHeight="1" x14ac:dyDescent="0.2">
      <c r="A94" s="104"/>
      <c r="B94" s="14"/>
      <c r="C94" s="96"/>
      <c r="D94" s="21"/>
      <c r="E94" s="21"/>
      <c r="F94" s="107"/>
    </row>
    <row r="95" spans="1:6" ht="62" customHeight="1" x14ac:dyDescent="0.2">
      <c r="A95" s="104"/>
      <c r="B95" s="14"/>
      <c r="C95" s="96"/>
      <c r="D95" s="21"/>
      <c r="E95" s="21"/>
      <c r="F95" s="107"/>
    </row>
    <row r="96" spans="1:6" ht="62" customHeight="1" x14ac:dyDescent="0.2">
      <c r="A96" s="104"/>
      <c r="B96" s="14"/>
      <c r="C96" s="96"/>
      <c r="D96" s="21"/>
      <c r="E96" s="21"/>
      <c r="F96" s="107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ht="62" customHeight="1" x14ac:dyDescent="0.2">
      <c r="D186" s="23"/>
      <c r="E186" s="23"/>
    </row>
    <row r="187" spans="1:5" ht="62" customHeight="1" x14ac:dyDescent="0.2">
      <c r="D187" s="23"/>
      <c r="E187" s="23"/>
    </row>
    <row r="188" spans="1:5" ht="62" customHeight="1" x14ac:dyDescent="0.2">
      <c r="D188" s="23"/>
      <c r="E188" s="23"/>
    </row>
    <row r="189" spans="1:5" ht="62" customHeight="1" x14ac:dyDescent="0.2">
      <c r="D189" s="23"/>
      <c r="E189" s="23"/>
    </row>
    <row r="190" spans="1:5" ht="62" customHeight="1" x14ac:dyDescent="0.2">
      <c r="D190" s="23"/>
      <c r="E190" s="23"/>
    </row>
    <row r="191" spans="1:5" ht="62" customHeight="1" x14ac:dyDescent="0.2">
      <c r="D191" s="23"/>
      <c r="E191" s="23"/>
    </row>
    <row r="192" spans="1:5" x14ac:dyDescent="0.2">
      <c r="D192" s="23"/>
      <c r="E192" s="23"/>
    </row>
    <row r="193" spans="4:5" x14ac:dyDescent="0.2">
      <c r="D193" s="23"/>
      <c r="E193" s="23"/>
    </row>
    <row r="194" spans="4:5" x14ac:dyDescent="0.2">
      <c r="D194" s="23"/>
      <c r="E194" s="23"/>
    </row>
    <row r="195" spans="4:5" x14ac:dyDescent="0.2">
      <c r="D195" s="23"/>
      <c r="E195" s="23"/>
    </row>
    <row r="196" spans="4:5" x14ac:dyDescent="0.2">
      <c r="D196" s="23"/>
      <c r="E196" s="23"/>
    </row>
    <row r="197" spans="4:5" x14ac:dyDescent="0.2">
      <c r="D197" s="23"/>
      <c r="E197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18" customFormat="1" ht="62" customHeight="1" x14ac:dyDescent="0.2">
      <c r="A9" s="103"/>
      <c r="B9" s="61"/>
      <c r="C9" s="94"/>
      <c r="D9" s="95"/>
      <c r="E9" s="95"/>
      <c r="F9" s="17"/>
      <c r="G9" s="19"/>
      <c r="H9" s="19"/>
      <c r="I9" s="19"/>
      <c r="J9" s="19"/>
      <c r="K9" s="19"/>
      <c r="L9" s="17"/>
      <c r="M9" s="19"/>
      <c r="N9" s="19"/>
      <c r="O9" s="19"/>
      <c r="P9" s="19"/>
      <c r="Q9" s="19"/>
    </row>
    <row r="10" spans="1:17" s="17" customFormat="1" ht="62" customHeight="1" x14ac:dyDescent="0.2">
      <c r="A10" s="103"/>
      <c r="B10" s="61"/>
      <c r="C10" s="94"/>
      <c r="D10" s="95"/>
      <c r="E10" s="95"/>
      <c r="G10" s="19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20" customFormat="1" ht="62" customHeight="1" x14ac:dyDescent="0.15">
      <c r="A12" s="103"/>
      <c r="B12" s="61"/>
      <c r="C12" s="94"/>
      <c r="D12" s="95"/>
      <c r="E12" s="95"/>
      <c r="F12" s="107"/>
    </row>
    <row r="13" spans="1:17" s="20" customFormat="1" ht="62" customHeight="1" x14ac:dyDescent="0.15">
      <c r="A13" s="103"/>
      <c r="B13" s="61"/>
      <c r="C13" s="94"/>
      <c r="D13" s="95"/>
      <c r="E13" s="95"/>
      <c r="F13" s="107"/>
    </row>
    <row r="14" spans="1:17" s="20" customFormat="1" ht="62" customHeight="1" x14ac:dyDescent="0.15">
      <c r="A14" s="103"/>
      <c r="B14" s="61"/>
      <c r="C14" s="94"/>
      <c r="D14" s="95"/>
      <c r="E14" s="95"/>
      <c r="F14" s="17"/>
    </row>
    <row r="15" spans="1:17" s="20" customFormat="1" ht="62" customHeight="1" x14ac:dyDescent="0.15">
      <c r="A15" s="103"/>
      <c r="B15" s="61"/>
      <c r="C15" s="94"/>
      <c r="D15" s="95"/>
      <c r="E15" s="95"/>
      <c r="F15" s="107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ht="62" customHeight="1" x14ac:dyDescent="0.2">
      <c r="A17" s="104"/>
      <c r="B17" s="14"/>
      <c r="C17" s="94"/>
      <c r="D17" s="95"/>
      <c r="E17" s="95"/>
      <c r="G17" s="1"/>
    </row>
    <row r="18" spans="1:7" ht="62" customHeight="1" x14ac:dyDescent="0.2">
      <c r="A18" s="104"/>
      <c r="B18" s="14"/>
      <c r="C18" s="94"/>
      <c r="D18" s="21"/>
      <c r="E18" s="21"/>
      <c r="G18" s="1"/>
    </row>
    <row r="19" spans="1:7" ht="62" customHeight="1" x14ac:dyDescent="0.2">
      <c r="A19" s="104"/>
      <c r="B19" s="14"/>
      <c r="C19" s="94"/>
      <c r="D19" s="21"/>
      <c r="E19" s="21"/>
      <c r="G19" s="1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F31" s="107"/>
    </row>
    <row r="32" spans="1:7" ht="62" customHeight="1" x14ac:dyDescent="0.2">
      <c r="A32" s="104"/>
      <c r="B32" s="14"/>
      <c r="C32" s="15"/>
      <c r="D32" s="21"/>
      <c r="E32" s="21"/>
      <c r="F32" s="107"/>
    </row>
    <row r="33" spans="1:6" ht="62" customHeight="1" x14ac:dyDescent="0.2">
      <c r="A33" s="104"/>
      <c r="B33" s="14"/>
      <c r="C33" s="96"/>
      <c r="D33" s="21"/>
      <c r="E33" s="21"/>
      <c r="F33" s="107"/>
    </row>
    <row r="34" spans="1:6" ht="62" customHeight="1" x14ac:dyDescent="0.2">
      <c r="A34" s="104"/>
      <c r="B34" s="14"/>
      <c r="C34" s="96"/>
      <c r="D34" s="21"/>
      <c r="E34" s="21"/>
      <c r="F34" s="107"/>
    </row>
    <row r="35" spans="1:6" ht="62" customHeight="1" x14ac:dyDescent="0.2">
      <c r="A35" s="104"/>
      <c r="B35" s="14"/>
      <c r="C35" s="96"/>
      <c r="D35" s="21"/>
      <c r="E35" s="21"/>
      <c r="F35" s="107"/>
    </row>
    <row r="36" spans="1:6" ht="62" customHeight="1" x14ac:dyDescent="0.2">
      <c r="A36" s="104"/>
      <c r="B36" s="14"/>
      <c r="C36" s="96"/>
      <c r="D36" s="21"/>
      <c r="E36" s="21"/>
      <c r="F36" s="107"/>
    </row>
    <row r="37" spans="1:6" ht="62" customHeight="1" x14ac:dyDescent="0.2">
      <c r="A37" s="104"/>
      <c r="B37" s="14"/>
      <c r="C37" s="96"/>
      <c r="D37" s="21"/>
      <c r="E37" s="21"/>
      <c r="F37" s="107"/>
    </row>
    <row r="38" spans="1:6" ht="62" customHeight="1" x14ac:dyDescent="0.2">
      <c r="A38" s="104"/>
      <c r="B38" s="14"/>
      <c r="C38" s="94"/>
      <c r="D38" s="21"/>
      <c r="E38" s="21"/>
      <c r="F38" s="107"/>
    </row>
    <row r="39" spans="1:6" ht="62" customHeight="1" x14ac:dyDescent="0.2">
      <c r="A39" s="104"/>
      <c r="B39" s="14"/>
      <c r="C39" s="94"/>
      <c r="D39" s="21"/>
      <c r="E39" s="21"/>
      <c r="F39" s="107"/>
    </row>
    <row r="40" spans="1:6" ht="62" customHeight="1" x14ac:dyDescent="0.2">
      <c r="A40" s="104"/>
      <c r="B40" s="14"/>
      <c r="C40" s="16"/>
      <c r="D40" s="21"/>
      <c r="E40" s="21"/>
      <c r="F40" s="107"/>
    </row>
    <row r="41" spans="1:6" ht="62" customHeight="1" x14ac:dyDescent="0.2">
      <c r="A41" s="104"/>
      <c r="B41" s="14"/>
      <c r="C41" s="15"/>
      <c r="D41" s="21"/>
      <c r="E41" s="21"/>
      <c r="F41" s="107"/>
    </row>
    <row r="42" spans="1:6" ht="62" customHeight="1" x14ac:dyDescent="0.2">
      <c r="A42" s="104"/>
      <c r="B42" s="14"/>
      <c r="C42" s="16"/>
      <c r="D42" s="21"/>
      <c r="E42" s="21"/>
      <c r="F42" s="107"/>
    </row>
    <row r="43" spans="1:6" ht="62" customHeight="1" x14ac:dyDescent="0.2">
      <c r="A43" s="104"/>
      <c r="B43" s="14"/>
      <c r="C43" s="16"/>
      <c r="D43" s="21"/>
      <c r="E43" s="21"/>
      <c r="F43" s="107"/>
    </row>
    <row r="44" spans="1:6" ht="62" customHeight="1" x14ac:dyDescent="0.2">
      <c r="A44" s="104"/>
      <c r="B44" s="14"/>
      <c r="C44" s="16"/>
      <c r="D44" s="21"/>
      <c r="E44" s="21"/>
      <c r="F44" s="107"/>
    </row>
    <row r="45" spans="1:6" ht="62" customHeight="1" x14ac:dyDescent="0.2">
      <c r="A45" s="104"/>
      <c r="B45" s="14"/>
      <c r="C45" s="16"/>
      <c r="D45" s="21"/>
      <c r="E45" s="21"/>
      <c r="F45" s="107"/>
    </row>
    <row r="46" spans="1:6" ht="62" customHeight="1" x14ac:dyDescent="0.2">
      <c r="A46" s="104"/>
      <c r="B46" s="14"/>
      <c r="C46" s="16"/>
      <c r="D46" s="21"/>
      <c r="E46" s="21"/>
      <c r="F46" s="107"/>
    </row>
    <row r="47" spans="1:6" ht="62" customHeight="1" x14ac:dyDescent="0.2">
      <c r="A47" s="104"/>
      <c r="B47" s="14"/>
      <c r="C47" s="16"/>
      <c r="D47" s="21"/>
      <c r="E47" s="21"/>
      <c r="F47" s="107"/>
    </row>
    <row r="48" spans="1:6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</row>
    <row r="89" spans="1:6" ht="62" customHeight="1" x14ac:dyDescent="0.2">
      <c r="A89" s="104"/>
      <c r="B89" s="14"/>
      <c r="C89" s="15"/>
      <c r="D89" s="21"/>
      <c r="E89" s="21"/>
    </row>
    <row r="90" spans="1:6" ht="62" customHeight="1" x14ac:dyDescent="0.2">
      <c r="A90" s="104"/>
      <c r="B90" s="14"/>
      <c r="C90" s="94"/>
      <c r="D90" s="21"/>
      <c r="E90" s="21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x14ac:dyDescent="0.2">
      <c r="A183" s="104"/>
      <c r="B183" s="14"/>
      <c r="C183" s="16"/>
      <c r="D183" s="21"/>
      <c r="E183" s="21"/>
    </row>
    <row r="184" spans="1:5" x14ac:dyDescent="0.2">
      <c r="D184" s="23"/>
      <c r="E184" s="23"/>
    </row>
    <row r="185" spans="1:5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2A02A-28FF-214F-95DA-ECCB6CAA40D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  <c r="F8" s="106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18" customFormat="1" ht="62" customHeight="1" x14ac:dyDescent="0.2">
      <c r="A9" s="103"/>
      <c r="B9" s="61"/>
      <c r="C9" s="94"/>
      <c r="D9" s="95"/>
      <c r="E9" s="95"/>
      <c r="F9" s="19"/>
      <c r="G9" s="19"/>
      <c r="H9" s="19"/>
      <c r="I9" s="19"/>
      <c r="J9" s="19"/>
      <c r="K9" s="19"/>
      <c r="L9" s="17"/>
      <c r="M9" s="19"/>
      <c r="N9" s="19"/>
      <c r="O9" s="19"/>
      <c r="P9" s="19"/>
      <c r="Q9" s="19"/>
    </row>
    <row r="10" spans="1:17" s="19" customFormat="1" ht="62" customHeight="1" x14ac:dyDescent="0.2">
      <c r="A10" s="103"/>
      <c r="B10" s="61"/>
      <c r="C10" s="94"/>
      <c r="D10" s="95"/>
      <c r="E10" s="95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20" customFormat="1" ht="62" customHeight="1" x14ac:dyDescent="0.15">
      <c r="A15" s="103"/>
      <c r="B15" s="61"/>
      <c r="C15" s="94"/>
      <c r="D15" s="95"/>
      <c r="E15" s="95"/>
      <c r="F15" s="107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s="20" customFormat="1" ht="62" customHeight="1" x14ac:dyDescent="0.15">
      <c r="A17" s="104"/>
      <c r="B17" s="14"/>
      <c r="C17" s="94"/>
      <c r="D17" s="95"/>
      <c r="E17" s="95"/>
      <c r="F17" s="107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F34" s="107"/>
    </row>
    <row r="35" spans="1:7" ht="62" customHeight="1" x14ac:dyDescent="0.2">
      <c r="A35" s="104"/>
      <c r="B35" s="14"/>
      <c r="C35" s="96"/>
      <c r="D35" s="21"/>
      <c r="E35" s="21"/>
      <c r="F35" s="107"/>
    </row>
    <row r="36" spans="1:7" ht="62" customHeight="1" x14ac:dyDescent="0.2">
      <c r="A36" s="104"/>
      <c r="B36" s="14"/>
      <c r="C36" s="96"/>
      <c r="D36" s="21"/>
      <c r="E36" s="21"/>
      <c r="F36" s="107"/>
    </row>
    <row r="37" spans="1:7" ht="62" customHeight="1" x14ac:dyDescent="0.2">
      <c r="A37" s="104"/>
      <c r="B37" s="14"/>
      <c r="C37" s="96"/>
      <c r="D37" s="21"/>
      <c r="E37" s="21"/>
      <c r="F37" s="107"/>
    </row>
    <row r="38" spans="1:7" ht="62" customHeight="1" x14ac:dyDescent="0.2">
      <c r="A38" s="104"/>
      <c r="B38" s="14"/>
      <c r="C38" s="94"/>
      <c r="D38" s="21"/>
      <c r="E38" s="21"/>
      <c r="F38" s="107"/>
    </row>
    <row r="39" spans="1:7" ht="62" customHeight="1" x14ac:dyDescent="0.2">
      <c r="A39" s="104"/>
      <c r="B39" s="14"/>
      <c r="C39" s="94"/>
      <c r="D39" s="21"/>
      <c r="E39" s="21"/>
      <c r="F39" s="107"/>
    </row>
    <row r="40" spans="1:7" ht="62" customHeight="1" x14ac:dyDescent="0.2">
      <c r="A40" s="104"/>
      <c r="B40" s="14"/>
      <c r="C40" s="16"/>
      <c r="D40" s="21"/>
      <c r="E40" s="21"/>
      <c r="F40" s="107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  <row r="189" spans="1:5" x14ac:dyDescent="0.2">
      <c r="D189" s="23"/>
      <c r="E189" s="23"/>
    </row>
    <row r="190" spans="1:5" x14ac:dyDescent="0.2">
      <c r="D190" s="23"/>
      <c r="E190" s="23"/>
    </row>
    <row r="191" spans="1:5" x14ac:dyDescent="0.2">
      <c r="D191" s="23"/>
      <c r="E191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387B1-FADF-2046-97DC-637FBBCBB7F6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  <c r="F8" s="106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18" customFormat="1" ht="62" customHeight="1" x14ac:dyDescent="0.2">
      <c r="A9" s="103"/>
      <c r="B9" s="61"/>
      <c r="C9" s="94"/>
      <c r="D9" s="95"/>
      <c r="E9" s="95"/>
      <c r="F9" s="19"/>
      <c r="G9" s="19"/>
      <c r="H9" s="19"/>
      <c r="I9" s="19"/>
      <c r="J9" s="19"/>
      <c r="K9" s="19"/>
      <c r="L9" s="17"/>
      <c r="M9" s="19"/>
      <c r="N9" s="19"/>
      <c r="O9" s="19"/>
      <c r="P9" s="19"/>
      <c r="Q9" s="19"/>
    </row>
    <row r="10" spans="1:17" s="19" customFormat="1" ht="62" customHeight="1" x14ac:dyDescent="0.2">
      <c r="A10" s="103"/>
      <c r="B10" s="61"/>
      <c r="C10" s="94"/>
      <c r="D10" s="95"/>
      <c r="E10" s="95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20" customFormat="1" ht="62" customHeight="1" x14ac:dyDescent="0.15">
      <c r="A15" s="103"/>
      <c r="B15" s="61"/>
      <c r="C15" s="94"/>
      <c r="D15" s="95"/>
      <c r="E15" s="95"/>
      <c r="F15" s="107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s="20" customFormat="1" ht="62" customHeight="1" x14ac:dyDescent="0.15">
      <c r="A17" s="104"/>
      <c r="B17" s="14"/>
      <c r="C17" s="94"/>
      <c r="D17" s="95"/>
      <c r="E17" s="95"/>
      <c r="F17" s="107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F34" s="107"/>
    </row>
    <row r="35" spans="1:7" ht="62" customHeight="1" x14ac:dyDescent="0.2">
      <c r="A35" s="104"/>
      <c r="B35" s="14"/>
      <c r="C35" s="96"/>
      <c r="D35" s="21"/>
      <c r="E35" s="21"/>
      <c r="F35" s="107"/>
    </row>
    <row r="36" spans="1:7" ht="62" customHeight="1" x14ac:dyDescent="0.2">
      <c r="A36" s="104"/>
      <c r="B36" s="14"/>
      <c r="C36" s="96"/>
      <c r="D36" s="21"/>
      <c r="E36" s="21"/>
      <c r="F36" s="107"/>
    </row>
    <row r="37" spans="1:7" ht="62" customHeight="1" x14ac:dyDescent="0.2">
      <c r="A37" s="104"/>
      <c r="B37" s="14"/>
      <c r="C37" s="96"/>
      <c r="D37" s="21"/>
      <c r="E37" s="21"/>
      <c r="F37" s="107"/>
    </row>
    <row r="38" spans="1:7" ht="62" customHeight="1" x14ac:dyDescent="0.2">
      <c r="A38" s="104"/>
      <c r="B38" s="14"/>
      <c r="C38" s="94"/>
      <c r="D38" s="21"/>
      <c r="E38" s="21"/>
      <c r="F38" s="107"/>
    </row>
    <row r="39" spans="1:7" ht="62" customHeight="1" x14ac:dyDescent="0.2">
      <c r="A39" s="104"/>
      <c r="B39" s="14"/>
      <c r="C39" s="94"/>
      <c r="D39" s="21"/>
      <c r="E39" s="21"/>
      <c r="F39" s="107"/>
    </row>
    <row r="40" spans="1:7" ht="62" customHeight="1" x14ac:dyDescent="0.2">
      <c r="A40" s="104"/>
      <c r="B40" s="14"/>
      <c r="C40" s="16"/>
      <c r="D40" s="21"/>
      <c r="E40" s="21"/>
      <c r="F40" s="107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  <row r="189" spans="1:5" x14ac:dyDescent="0.2">
      <c r="D189" s="23"/>
      <c r="E189" s="23"/>
    </row>
    <row r="190" spans="1:5" x14ac:dyDescent="0.2">
      <c r="D190" s="23"/>
      <c r="E190" s="23"/>
    </row>
    <row r="191" spans="1:5" x14ac:dyDescent="0.2">
      <c r="D191" s="23"/>
      <c r="E191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1864-29BC-A447-9A43-CA34DBC6A45E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COUNTA(E7:E13512)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8" customFormat="1" ht="62" customHeight="1" x14ac:dyDescent="0.2">
      <c r="A7" s="103"/>
      <c r="B7" s="61"/>
      <c r="C7" s="94"/>
      <c r="D7" s="95"/>
      <c r="E7" s="95"/>
      <c r="F7" s="19"/>
      <c r="G7" s="19"/>
      <c r="H7" s="19"/>
      <c r="I7" s="19"/>
      <c r="J7" s="19"/>
      <c r="K7" s="19"/>
      <c r="L7" s="17"/>
      <c r="M7" s="19"/>
      <c r="N7" s="19"/>
      <c r="O7" s="19"/>
      <c r="P7" s="19"/>
      <c r="Q7" s="19"/>
    </row>
    <row r="8" spans="1:17" s="18" customFormat="1" ht="62" customHeight="1" x14ac:dyDescent="0.2">
      <c r="A8" s="103"/>
      <c r="B8" s="61"/>
      <c r="C8" s="94"/>
      <c r="D8" s="95"/>
      <c r="E8" s="95"/>
      <c r="F8" s="19"/>
      <c r="G8" s="19"/>
      <c r="H8" s="19"/>
      <c r="I8" s="19"/>
      <c r="J8" s="19"/>
      <c r="K8" s="19"/>
      <c r="L8" s="17"/>
      <c r="M8" s="19"/>
      <c r="N8" s="19"/>
      <c r="O8" s="19"/>
      <c r="P8" s="19"/>
      <c r="Q8" s="19"/>
    </row>
    <row r="9" spans="1:17" s="18" customFormat="1" ht="62" customHeight="1" x14ac:dyDescent="0.2">
      <c r="A9" s="103"/>
      <c r="B9" s="61"/>
      <c r="C9" s="94"/>
      <c r="D9" s="95"/>
      <c r="E9" s="95"/>
      <c r="F9" s="19"/>
      <c r="G9" s="19"/>
      <c r="H9" s="19"/>
      <c r="I9" s="19"/>
      <c r="J9" s="19"/>
      <c r="K9" s="19"/>
      <c r="L9" s="17"/>
      <c r="M9" s="19"/>
      <c r="N9" s="19"/>
      <c r="O9" s="19"/>
      <c r="P9" s="19"/>
      <c r="Q9" s="19"/>
    </row>
    <row r="10" spans="1:17" s="19" customFormat="1" ht="62" customHeight="1" x14ac:dyDescent="0.2">
      <c r="A10" s="103"/>
      <c r="B10" s="61"/>
      <c r="C10" s="94"/>
      <c r="D10" s="95"/>
      <c r="E10" s="95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20" customFormat="1" ht="62" customHeight="1" x14ac:dyDescent="0.15">
      <c r="A15" s="103"/>
      <c r="B15" s="61"/>
      <c r="C15" s="94"/>
      <c r="D15" s="95"/>
      <c r="E15" s="95"/>
      <c r="F15" s="107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s="20" customFormat="1" ht="62" customHeight="1" x14ac:dyDescent="0.15">
      <c r="A17" s="104"/>
      <c r="B17" s="14"/>
      <c r="C17" s="94"/>
      <c r="D17" s="95"/>
      <c r="E17" s="95"/>
      <c r="F17" s="107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F34" s="107"/>
    </row>
    <row r="35" spans="1:7" ht="62" customHeight="1" x14ac:dyDescent="0.2">
      <c r="A35" s="104"/>
      <c r="B35" s="14"/>
      <c r="C35" s="96"/>
      <c r="D35" s="21"/>
      <c r="E35" s="21"/>
      <c r="F35" s="107"/>
    </row>
    <row r="36" spans="1:7" ht="62" customHeight="1" x14ac:dyDescent="0.2">
      <c r="A36" s="104"/>
      <c r="B36" s="14"/>
      <c r="C36" s="96"/>
      <c r="D36" s="21"/>
      <c r="E36" s="21"/>
      <c r="F36" s="107"/>
    </row>
    <row r="37" spans="1:7" ht="62" customHeight="1" x14ac:dyDescent="0.2">
      <c r="A37" s="104"/>
      <c r="B37" s="14"/>
      <c r="C37" s="96"/>
      <c r="D37" s="21"/>
      <c r="E37" s="21"/>
      <c r="F37" s="107"/>
    </row>
    <row r="38" spans="1:7" ht="62" customHeight="1" x14ac:dyDescent="0.2">
      <c r="A38" s="104"/>
      <c r="B38" s="14"/>
      <c r="C38" s="94"/>
      <c r="D38" s="21"/>
      <c r="E38" s="21"/>
      <c r="F38" s="107"/>
    </row>
    <row r="39" spans="1:7" ht="62" customHeight="1" x14ac:dyDescent="0.2">
      <c r="A39" s="104"/>
      <c r="B39" s="14"/>
      <c r="C39" s="94"/>
      <c r="D39" s="21"/>
      <c r="E39" s="21"/>
      <c r="F39" s="107"/>
    </row>
    <row r="40" spans="1:7" ht="62" customHeight="1" x14ac:dyDescent="0.2">
      <c r="A40" s="104"/>
      <c r="B40" s="14"/>
      <c r="C40" s="16"/>
      <c r="D40" s="21"/>
      <c r="E40" s="21"/>
      <c r="F40" s="107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  <row r="189" spans="1:5" x14ac:dyDescent="0.2">
      <c r="D189" s="23"/>
      <c r="E189" s="23"/>
    </row>
    <row r="190" spans="1:5" x14ac:dyDescent="0.2">
      <c r="D190" s="23"/>
      <c r="E190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12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5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</row>
    <row r="9" spans="1:17" s="17" customFormat="1" ht="62" customHeight="1" x14ac:dyDescent="0.2">
      <c r="A9" s="103"/>
      <c r="B9" s="61"/>
      <c r="C9" s="94"/>
      <c r="D9" s="95"/>
      <c r="E9" s="95"/>
    </row>
    <row r="10" spans="1:17" s="17" customFormat="1" ht="62" customHeight="1" x14ac:dyDescent="0.2">
      <c r="A10" s="103"/>
      <c r="B10" s="61"/>
      <c r="C10" s="94"/>
      <c r="D10" s="95"/>
      <c r="E10" s="95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</row>
    <row r="14" spans="1:17" s="17" customFormat="1" ht="62" customHeight="1" x14ac:dyDescent="0.2">
      <c r="A14" s="103"/>
      <c r="B14" s="61"/>
      <c r="C14" s="94"/>
      <c r="D14" s="95"/>
      <c r="E14" s="95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</row>
    <row r="15" spans="1:17" s="17" customFormat="1" ht="62" customHeight="1" x14ac:dyDescent="0.2">
      <c r="A15" s="103"/>
      <c r="B15" s="61"/>
      <c r="C15" s="94"/>
      <c r="D15" s="95"/>
      <c r="E15" s="95"/>
      <c r="F15" s="106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</row>
    <row r="16" spans="1:17" s="17" customFormat="1" ht="62" customHeight="1" x14ac:dyDescent="0.2">
      <c r="A16" s="104"/>
      <c r="B16" s="14"/>
      <c r="C16" s="94"/>
      <c r="D16" s="95"/>
      <c r="E16" s="95"/>
      <c r="F16" s="106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</row>
    <row r="17" spans="1:17" s="19" customFormat="1" ht="62" customHeight="1" x14ac:dyDescent="0.2">
      <c r="A17" s="104"/>
      <c r="B17" s="14"/>
      <c r="C17" s="94"/>
      <c r="D17" s="95"/>
      <c r="E17" s="95"/>
      <c r="F17" s="17"/>
      <c r="G17" s="17"/>
      <c r="H17" s="17"/>
      <c r="I17" s="17"/>
      <c r="J17" s="17"/>
      <c r="K17" s="17"/>
      <c r="M17" s="17"/>
      <c r="N17" s="17"/>
      <c r="O17" s="17"/>
      <c r="P17" s="17"/>
      <c r="Q17" s="17"/>
    </row>
    <row r="18" spans="1:17" s="19" customFormat="1" ht="62" customHeight="1" x14ac:dyDescent="0.2">
      <c r="A18" s="104"/>
      <c r="B18" s="14"/>
      <c r="C18" s="94"/>
      <c r="D18" s="21"/>
      <c r="E18" s="21"/>
      <c r="F18" s="17"/>
      <c r="G18" s="17"/>
      <c r="H18" s="17"/>
      <c r="I18" s="17"/>
      <c r="J18" s="17"/>
      <c r="K18" s="17"/>
      <c r="M18" s="17"/>
      <c r="N18" s="17"/>
      <c r="O18" s="17"/>
      <c r="P18" s="17"/>
      <c r="Q18" s="17"/>
    </row>
    <row r="19" spans="1:17" s="19" customFormat="1" ht="62" customHeight="1" x14ac:dyDescent="0.2">
      <c r="A19" s="104"/>
      <c r="B19" s="14"/>
      <c r="C19" s="94"/>
      <c r="D19" s="21"/>
      <c r="E19" s="21"/>
      <c r="F19" s="17"/>
      <c r="G19" s="17"/>
      <c r="H19" s="17"/>
      <c r="I19" s="17"/>
      <c r="J19" s="17"/>
      <c r="K19" s="17"/>
      <c r="M19" s="17"/>
      <c r="N19" s="17"/>
      <c r="O19" s="17"/>
      <c r="P19" s="17"/>
      <c r="Q19" s="17"/>
    </row>
    <row r="20" spans="1:17" s="17" customFormat="1" ht="62" customHeight="1" x14ac:dyDescent="0.2">
      <c r="A20" s="104"/>
      <c r="B20" s="14"/>
      <c r="C20" s="94"/>
      <c r="D20" s="21"/>
      <c r="E20" s="21"/>
    </row>
    <row r="21" spans="1:17" s="17" customFormat="1" ht="62" customHeight="1" x14ac:dyDescent="0.2">
      <c r="A21" s="104"/>
      <c r="B21" s="14"/>
      <c r="C21" s="94"/>
      <c r="D21" s="21"/>
      <c r="E21" s="21"/>
    </row>
    <row r="22" spans="1:17" s="17" customFormat="1" ht="62" customHeight="1" x14ac:dyDescent="0.2">
      <c r="A22" s="104"/>
      <c r="B22" s="14"/>
      <c r="C22" s="94"/>
      <c r="D22" s="21"/>
      <c r="E22" s="21"/>
    </row>
    <row r="23" spans="1:17" s="17" customFormat="1" ht="62" customHeight="1" x14ac:dyDescent="0.2">
      <c r="A23" s="104"/>
      <c r="B23" s="14"/>
      <c r="C23" s="94"/>
      <c r="D23" s="21"/>
      <c r="E23" s="21"/>
    </row>
    <row r="24" spans="1:17" s="17" customFormat="1" ht="62" customHeight="1" x14ac:dyDescent="0.2">
      <c r="A24" s="104"/>
      <c r="B24" s="14"/>
      <c r="C24" s="96"/>
      <c r="D24" s="21"/>
      <c r="E24" s="21"/>
    </row>
    <row r="25" spans="1:17" s="17" customFormat="1" ht="62" customHeight="1" x14ac:dyDescent="0.2">
      <c r="A25" s="104"/>
      <c r="B25" s="14"/>
      <c r="C25" s="94"/>
      <c r="D25" s="21"/>
      <c r="E25" s="21"/>
    </row>
    <row r="26" spans="1:17" s="17" customFormat="1" ht="62" customHeight="1" x14ac:dyDescent="0.2">
      <c r="A26" s="104"/>
      <c r="B26" s="14"/>
      <c r="C26" s="96"/>
      <c r="D26" s="21"/>
      <c r="E26" s="21"/>
    </row>
    <row r="27" spans="1:17" s="17" customFormat="1" ht="62" customHeight="1" x14ac:dyDescent="0.2">
      <c r="A27" s="104"/>
      <c r="B27" s="14"/>
      <c r="C27" s="96"/>
      <c r="D27" s="21"/>
      <c r="E27" s="21"/>
    </row>
    <row r="28" spans="1:17" s="17" customFormat="1" ht="62" customHeight="1" x14ac:dyDescent="0.2">
      <c r="A28" s="104"/>
      <c r="B28" s="14"/>
      <c r="C28" s="94"/>
      <c r="D28" s="21"/>
      <c r="E28" s="21"/>
    </row>
    <row r="29" spans="1:17" s="20" customFormat="1" ht="62" customHeight="1" x14ac:dyDescent="0.15">
      <c r="A29" s="104"/>
      <c r="B29" s="14"/>
      <c r="C29" s="94"/>
      <c r="D29" s="21"/>
      <c r="E29" s="21"/>
      <c r="F29" s="107"/>
    </row>
    <row r="30" spans="1:17" s="20" customFormat="1" ht="62" customHeight="1" x14ac:dyDescent="0.15">
      <c r="A30" s="104"/>
      <c r="B30" s="14"/>
      <c r="C30" s="15"/>
      <c r="D30" s="21"/>
      <c r="E30" s="21"/>
      <c r="F30" s="107"/>
    </row>
    <row r="31" spans="1:17" s="20" customFormat="1" ht="62" customHeight="1" x14ac:dyDescent="0.15">
      <c r="A31" s="104"/>
      <c r="B31" s="14"/>
      <c r="C31" s="94"/>
      <c r="D31" s="21"/>
      <c r="E31" s="21"/>
      <c r="F31" s="107"/>
    </row>
    <row r="32" spans="1:17" s="20" customFormat="1" ht="62" customHeight="1" x14ac:dyDescent="0.15">
      <c r="A32" s="104"/>
      <c r="B32" s="14"/>
      <c r="C32" s="15"/>
      <c r="D32" s="21"/>
      <c r="E32" s="21"/>
      <c r="F32" s="107"/>
    </row>
    <row r="33" spans="1:7" s="20" customFormat="1" ht="62" customHeight="1" x14ac:dyDescent="0.15">
      <c r="A33" s="104"/>
      <c r="B33" s="14"/>
      <c r="C33" s="96"/>
      <c r="D33" s="21"/>
      <c r="E33" s="21"/>
      <c r="F33" s="107"/>
    </row>
    <row r="34" spans="1:7" s="20" customFormat="1" ht="62" customHeight="1" x14ac:dyDescent="0.15">
      <c r="A34" s="104"/>
      <c r="B34" s="14"/>
      <c r="C34" s="96"/>
      <c r="D34" s="21"/>
      <c r="E34" s="21"/>
      <c r="F34" s="107"/>
    </row>
    <row r="35" spans="1:7" ht="62" customHeight="1" x14ac:dyDescent="0.2">
      <c r="A35" s="104"/>
      <c r="B35" s="14"/>
      <c r="C35" s="96"/>
      <c r="D35" s="21"/>
      <c r="E35" s="21"/>
      <c r="G35" s="1"/>
    </row>
    <row r="36" spans="1:7" ht="62" customHeight="1" x14ac:dyDescent="0.2">
      <c r="A36" s="104"/>
      <c r="B36" s="14"/>
      <c r="C36" s="96"/>
      <c r="D36" s="21"/>
      <c r="E36" s="21"/>
      <c r="G36" s="1"/>
    </row>
    <row r="37" spans="1:7" ht="62" customHeight="1" x14ac:dyDescent="0.2">
      <c r="A37" s="104"/>
      <c r="B37" s="14"/>
      <c r="C37" s="96"/>
      <c r="D37" s="21"/>
      <c r="E37" s="21"/>
      <c r="G37" s="1"/>
    </row>
    <row r="38" spans="1:7" ht="62" customHeight="1" x14ac:dyDescent="0.2">
      <c r="A38" s="104"/>
      <c r="B38" s="14"/>
      <c r="C38" s="94"/>
      <c r="D38" s="21"/>
      <c r="E38" s="21"/>
      <c r="G38" s="1"/>
    </row>
    <row r="39" spans="1:7" ht="62" customHeight="1" x14ac:dyDescent="0.2">
      <c r="A39" s="104"/>
      <c r="B39" s="14"/>
      <c r="C39" s="94"/>
      <c r="D39" s="21"/>
      <c r="E39" s="21"/>
      <c r="G39" s="1"/>
    </row>
    <row r="40" spans="1:7" ht="62" customHeight="1" x14ac:dyDescent="0.2">
      <c r="A40" s="104"/>
      <c r="B40" s="14"/>
      <c r="C40" s="16"/>
      <c r="D40" s="21"/>
      <c r="E40" s="21"/>
      <c r="G40" s="1"/>
    </row>
    <row r="41" spans="1:7" ht="62" customHeight="1" x14ac:dyDescent="0.2">
      <c r="A41" s="104"/>
      <c r="B41" s="14"/>
      <c r="C41" s="15"/>
      <c r="D41" s="21"/>
      <c r="E41" s="21"/>
      <c r="G41" s="1"/>
    </row>
    <row r="42" spans="1:7" ht="62" customHeight="1" x14ac:dyDescent="0.2">
      <c r="A42" s="104"/>
      <c r="B42" s="14"/>
      <c r="C42" s="16"/>
      <c r="D42" s="21"/>
      <c r="E42" s="21"/>
      <c r="G42" s="1"/>
    </row>
    <row r="43" spans="1:7" ht="62" customHeight="1" x14ac:dyDescent="0.2">
      <c r="A43" s="104"/>
      <c r="B43" s="14"/>
      <c r="C43" s="16"/>
      <c r="D43" s="21"/>
      <c r="E43" s="21"/>
      <c r="G43" s="1"/>
    </row>
    <row r="44" spans="1:7" ht="62" customHeight="1" x14ac:dyDescent="0.2">
      <c r="A44" s="104"/>
      <c r="B44" s="14"/>
      <c r="C44" s="16"/>
      <c r="D44" s="21"/>
      <c r="E44" s="21"/>
      <c r="G44" s="1"/>
    </row>
    <row r="45" spans="1:7" ht="62" customHeight="1" x14ac:dyDescent="0.2">
      <c r="A45" s="104"/>
      <c r="B45" s="14"/>
      <c r="C45" s="16"/>
      <c r="D45" s="21"/>
      <c r="E45" s="21"/>
      <c r="G45" s="1"/>
    </row>
    <row r="46" spans="1:7" ht="62" customHeight="1" x14ac:dyDescent="0.2">
      <c r="A46" s="104"/>
      <c r="B46" s="14"/>
      <c r="C46" s="16"/>
      <c r="D46" s="21"/>
      <c r="E46" s="21"/>
      <c r="G46" s="1"/>
    </row>
    <row r="47" spans="1:7" ht="62" customHeight="1" x14ac:dyDescent="0.2">
      <c r="A47" s="104"/>
      <c r="B47" s="14"/>
      <c r="C47" s="16"/>
      <c r="D47" s="21"/>
      <c r="E47" s="21"/>
      <c r="G47" s="1"/>
    </row>
    <row r="48" spans="1:7" ht="62" customHeight="1" x14ac:dyDescent="0.2">
      <c r="A48" s="104"/>
      <c r="B48" s="14"/>
      <c r="C48" s="16"/>
      <c r="D48" s="21"/>
      <c r="E48" s="21"/>
      <c r="G48" s="1"/>
    </row>
    <row r="49" spans="1:7" ht="62" customHeight="1" x14ac:dyDescent="0.2">
      <c r="A49" s="104"/>
      <c r="B49" s="14"/>
      <c r="C49" s="16"/>
      <c r="D49" s="21"/>
      <c r="E49" s="21"/>
      <c r="G49" s="1"/>
    </row>
    <row r="50" spans="1:7" ht="62" customHeight="1" x14ac:dyDescent="0.2">
      <c r="A50" s="104"/>
      <c r="B50" s="14"/>
      <c r="C50" s="16"/>
      <c r="D50" s="21"/>
      <c r="E50" s="21"/>
      <c r="G50" s="1"/>
    </row>
    <row r="51" spans="1:7" ht="62" customHeight="1" x14ac:dyDescent="0.2">
      <c r="A51" s="104"/>
      <c r="B51" s="14"/>
      <c r="C51" s="16"/>
      <c r="D51" s="21"/>
      <c r="E51" s="21"/>
      <c r="G51" s="1"/>
    </row>
    <row r="52" spans="1:7" ht="62" customHeight="1" x14ac:dyDescent="0.2">
      <c r="A52" s="104"/>
      <c r="B52" s="14"/>
      <c r="C52" s="16"/>
      <c r="D52" s="21"/>
      <c r="E52" s="21"/>
      <c r="G52" s="1"/>
    </row>
    <row r="53" spans="1:7" ht="62" customHeight="1" x14ac:dyDescent="0.2">
      <c r="A53" s="104"/>
      <c r="B53" s="14"/>
      <c r="C53" s="16"/>
      <c r="D53" s="21"/>
      <c r="E53" s="21"/>
      <c r="G53" s="1"/>
    </row>
    <row r="54" spans="1:7" ht="62" customHeight="1" x14ac:dyDescent="0.2">
      <c r="A54" s="104"/>
      <c r="B54" s="14"/>
      <c r="C54" s="16"/>
      <c r="D54" s="21"/>
      <c r="E54" s="21"/>
      <c r="G54" s="1"/>
    </row>
    <row r="55" spans="1:7" ht="62" customHeight="1" x14ac:dyDescent="0.2">
      <c r="A55" s="104"/>
      <c r="B55" s="14"/>
      <c r="C55" s="16"/>
      <c r="D55" s="21"/>
      <c r="E55" s="21"/>
      <c r="F55" s="107"/>
    </row>
    <row r="56" spans="1:7" ht="62" customHeight="1" x14ac:dyDescent="0.2">
      <c r="A56" s="104"/>
      <c r="B56" s="14"/>
      <c r="C56" s="16"/>
      <c r="D56" s="21"/>
      <c r="E56" s="21"/>
      <c r="F56" s="107"/>
    </row>
    <row r="57" spans="1:7" ht="62" customHeight="1" x14ac:dyDescent="0.2">
      <c r="A57" s="104"/>
      <c r="B57" s="14"/>
      <c r="C57" s="16"/>
      <c r="D57" s="21"/>
      <c r="E57" s="21"/>
      <c r="F57" s="107"/>
    </row>
    <row r="58" spans="1:7" ht="62" customHeight="1" x14ac:dyDescent="0.2">
      <c r="A58" s="104"/>
      <c r="B58" s="14"/>
      <c r="C58" s="16"/>
      <c r="D58" s="21"/>
      <c r="E58" s="21"/>
      <c r="F58" s="107"/>
    </row>
    <row r="59" spans="1:7" ht="62" customHeight="1" x14ac:dyDescent="0.2">
      <c r="A59" s="104"/>
      <c r="B59" s="14"/>
      <c r="C59" s="16"/>
      <c r="D59" s="21"/>
      <c r="E59" s="21"/>
      <c r="F59" s="107"/>
    </row>
    <row r="60" spans="1:7" ht="62" customHeight="1" x14ac:dyDescent="0.2">
      <c r="A60" s="104"/>
      <c r="B60" s="14"/>
      <c r="C60" s="16"/>
      <c r="D60" s="21"/>
      <c r="E60" s="21"/>
      <c r="F60" s="107"/>
    </row>
    <row r="61" spans="1:7" ht="62" customHeight="1" x14ac:dyDescent="0.2">
      <c r="A61" s="104"/>
      <c r="B61" s="14"/>
      <c r="C61" s="16"/>
      <c r="D61" s="21"/>
      <c r="E61" s="21"/>
      <c r="F61" s="107"/>
    </row>
    <row r="62" spans="1:7" ht="62" customHeight="1" x14ac:dyDescent="0.2">
      <c r="A62" s="104"/>
      <c r="B62" s="14"/>
      <c r="C62" s="16"/>
      <c r="D62" s="21"/>
      <c r="E62" s="21"/>
      <c r="F62" s="107"/>
    </row>
    <row r="63" spans="1:7" ht="62" customHeight="1" x14ac:dyDescent="0.2">
      <c r="A63" s="104"/>
      <c r="B63" s="14"/>
      <c r="C63" s="16"/>
      <c r="D63" s="21"/>
      <c r="E63" s="21"/>
      <c r="F63" s="107"/>
    </row>
    <row r="64" spans="1:7" ht="62" customHeight="1" x14ac:dyDescent="0.2">
      <c r="A64" s="104"/>
      <c r="B64" s="14"/>
      <c r="C64" s="16"/>
      <c r="D64" s="21"/>
      <c r="E64" s="21"/>
      <c r="F64" s="107"/>
    </row>
    <row r="65" spans="1:17" ht="62" customHeight="1" x14ac:dyDescent="0.2">
      <c r="A65" s="104"/>
      <c r="B65" s="14"/>
      <c r="C65" s="16"/>
      <c r="D65" s="21"/>
      <c r="E65" s="21"/>
      <c r="F65" s="107"/>
    </row>
    <row r="66" spans="1:17" ht="62" customHeight="1" x14ac:dyDescent="0.2">
      <c r="A66" s="103"/>
      <c r="B66" s="61"/>
      <c r="C66" s="94"/>
      <c r="D66" s="95"/>
      <c r="E66" s="95"/>
      <c r="F66" s="107"/>
    </row>
    <row r="67" spans="1:17" ht="62" customHeight="1" x14ac:dyDescent="0.2">
      <c r="A67" s="103"/>
      <c r="B67" s="61"/>
      <c r="C67" s="94"/>
      <c r="D67" s="95"/>
      <c r="E67" s="95"/>
      <c r="F67" s="107"/>
    </row>
    <row r="68" spans="1:17" ht="62" customHeight="1" x14ac:dyDescent="0.2">
      <c r="A68" s="103"/>
      <c r="B68" s="61"/>
      <c r="C68" s="94"/>
      <c r="D68" s="95"/>
      <c r="E68" s="95"/>
      <c r="F68" s="107"/>
    </row>
    <row r="69" spans="1:17" ht="62" customHeight="1" x14ac:dyDescent="0.2">
      <c r="A69" s="103"/>
      <c r="B69" s="61"/>
      <c r="C69" s="94"/>
      <c r="D69" s="95"/>
      <c r="E69" s="95"/>
      <c r="F69" s="107"/>
    </row>
    <row r="70" spans="1:17" customFormat="1" ht="62" customHeight="1" x14ac:dyDescent="0.2">
      <c r="A70" s="103"/>
      <c r="B70" s="61"/>
      <c r="C70" s="94"/>
      <c r="D70" s="95"/>
      <c r="E70" s="95"/>
      <c r="F70" s="107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customFormat="1" ht="62" customHeight="1" x14ac:dyDescent="0.2">
      <c r="A71" s="103"/>
      <c r="B71" s="61"/>
      <c r="C71" s="94"/>
      <c r="D71" s="95"/>
      <c r="E71" s="95"/>
      <c r="F71" s="107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customFormat="1" ht="62" customHeight="1" x14ac:dyDescent="0.2">
      <c r="A72" s="103"/>
      <c r="B72" s="61"/>
      <c r="C72" s="94"/>
      <c r="D72" s="95"/>
      <c r="E72" s="95"/>
      <c r="F72" s="107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customFormat="1" ht="62" customHeight="1" x14ac:dyDescent="0.2">
      <c r="A73" s="103"/>
      <c r="B73" s="61"/>
      <c r="C73" s="94"/>
      <c r="D73" s="95"/>
      <c r="E73" s="95"/>
      <c r="F73" s="107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customFormat="1" ht="62" customHeight="1" x14ac:dyDescent="0.2">
      <c r="A74" s="103"/>
      <c r="B74" s="61"/>
      <c r="C74" s="94"/>
      <c r="D74" s="95"/>
      <c r="E74" s="95"/>
      <c r="F74" s="107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customFormat="1" ht="62" customHeight="1" x14ac:dyDescent="0.2">
      <c r="A75" s="104"/>
      <c r="B75" s="14"/>
      <c r="C75" s="94"/>
      <c r="D75" s="95"/>
      <c r="E75" s="95"/>
      <c r="F75" s="107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customFormat="1" ht="62" customHeight="1" x14ac:dyDescent="0.2">
      <c r="A76" s="104"/>
      <c r="B76" s="14"/>
      <c r="C76" s="94"/>
      <c r="D76" s="95"/>
      <c r="E76" s="95"/>
      <c r="F76" s="107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customFormat="1" ht="62" customHeight="1" x14ac:dyDescent="0.2">
      <c r="A77" s="104"/>
      <c r="B77" s="14"/>
      <c r="C77" s="94"/>
      <c r="D77" s="21"/>
      <c r="E77" s="21"/>
      <c r="F77" s="107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customFormat="1" ht="62" customHeight="1" x14ac:dyDescent="0.2">
      <c r="A78" s="104"/>
      <c r="B78" s="14"/>
      <c r="C78" s="94"/>
      <c r="D78" s="21"/>
      <c r="E78" s="21"/>
      <c r="F78" s="107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customFormat="1" ht="62" customHeight="1" x14ac:dyDescent="0.2">
      <c r="A79" s="104"/>
      <c r="B79" s="14"/>
      <c r="C79" s="94"/>
      <c r="D79" s="21"/>
      <c r="E79" s="21"/>
      <c r="F79" s="107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customFormat="1" ht="62" customHeight="1" x14ac:dyDescent="0.2">
      <c r="A80" s="104"/>
      <c r="B80" s="14"/>
      <c r="C80" s="94"/>
      <c r="D80" s="21"/>
      <c r="E80" s="21"/>
      <c r="F80" s="107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customFormat="1" ht="62" customHeight="1" x14ac:dyDescent="0.2">
      <c r="A81" s="104"/>
      <c r="B81" s="14"/>
      <c r="C81" s="94"/>
      <c r="D81" s="21"/>
      <c r="E81" s="21"/>
      <c r="F81" s="107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customFormat="1" ht="62" customHeight="1" x14ac:dyDescent="0.2">
      <c r="A82" s="104"/>
      <c r="B82" s="14"/>
      <c r="C82" s="94"/>
      <c r="D82" s="21"/>
      <c r="E82" s="21"/>
      <c r="F82" s="107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customFormat="1" ht="62" customHeight="1" x14ac:dyDescent="0.2">
      <c r="A83" s="104"/>
      <c r="B83" s="14"/>
      <c r="C83" s="96"/>
      <c r="D83" s="21"/>
      <c r="E83" s="21"/>
      <c r="F83" s="107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customFormat="1" ht="62" customHeight="1" x14ac:dyDescent="0.2">
      <c r="A84" s="104"/>
      <c r="B84" s="14"/>
      <c r="C84" s="94"/>
      <c r="D84" s="21"/>
      <c r="E84" s="21"/>
      <c r="F84" s="107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customFormat="1" ht="62" customHeight="1" x14ac:dyDescent="0.2">
      <c r="A85" s="104"/>
      <c r="B85" s="14"/>
      <c r="C85" s="96"/>
      <c r="D85" s="21"/>
      <c r="E85" s="21"/>
      <c r="F85" s="107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customFormat="1" ht="62" customHeight="1" x14ac:dyDescent="0.2">
      <c r="A86" s="104"/>
      <c r="B86" s="14"/>
      <c r="C86" s="96"/>
      <c r="D86" s="21"/>
      <c r="E86" s="21"/>
      <c r="F86" s="107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customFormat="1" ht="62" customHeight="1" x14ac:dyDescent="0.2">
      <c r="A87" s="104"/>
      <c r="B87" s="14"/>
      <c r="C87" s="94"/>
      <c r="D87" s="21"/>
      <c r="E87" s="21"/>
      <c r="F87" s="107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customFormat="1" ht="62" customHeight="1" x14ac:dyDescent="0.2">
      <c r="A88" s="104"/>
      <c r="B88" s="14"/>
      <c r="C88" s="94"/>
      <c r="D88" s="21"/>
      <c r="E88" s="21"/>
      <c r="F88" s="107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customFormat="1" ht="62" customHeight="1" x14ac:dyDescent="0.2">
      <c r="A89" s="104"/>
      <c r="B89" s="14"/>
      <c r="C89" s="15"/>
      <c r="D89" s="21"/>
      <c r="E89" s="21"/>
      <c r="F89" s="107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customFormat="1" ht="62" customHeight="1" x14ac:dyDescent="0.2">
      <c r="A90" s="104"/>
      <c r="B90" s="14"/>
      <c r="C90" s="94"/>
      <c r="D90" s="21"/>
      <c r="E90" s="21"/>
      <c r="F90" s="107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customFormat="1" ht="62" customHeight="1" x14ac:dyDescent="0.2">
      <c r="A91" s="104"/>
      <c r="B91" s="14"/>
      <c r="C91" s="15"/>
      <c r="D91" s="21"/>
      <c r="E91" s="21"/>
      <c r="F91" s="107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customFormat="1" ht="62" customHeight="1" x14ac:dyDescent="0.2">
      <c r="A92" s="104"/>
      <c r="B92" s="14"/>
      <c r="C92" s="96"/>
      <c r="D92" s="21"/>
      <c r="E92" s="21"/>
      <c r="F92" s="107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customFormat="1" ht="62" customHeight="1" x14ac:dyDescent="0.2">
      <c r="A93" s="104"/>
      <c r="B93" s="14"/>
      <c r="C93" s="96"/>
      <c r="D93" s="21"/>
      <c r="E93" s="21"/>
      <c r="F93" s="107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customFormat="1" ht="62" customHeight="1" x14ac:dyDescent="0.2">
      <c r="A94" s="104"/>
      <c r="B94" s="14"/>
      <c r="C94" s="96"/>
      <c r="D94" s="21"/>
      <c r="E94" s="21"/>
      <c r="F94" s="107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customFormat="1" ht="62" customHeight="1" x14ac:dyDescent="0.2">
      <c r="A95" s="104"/>
      <c r="B95" s="14"/>
      <c r="C95" s="96"/>
      <c r="D95" s="21"/>
      <c r="E95" s="21"/>
      <c r="F95" s="107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customFormat="1" ht="62" customHeight="1" x14ac:dyDescent="0.2">
      <c r="A96" s="104"/>
      <c r="B96" s="14"/>
      <c r="C96" s="96"/>
      <c r="D96" s="21"/>
      <c r="E96" s="21"/>
      <c r="F96" s="107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customFormat="1" ht="62" customHeight="1" x14ac:dyDescent="0.2">
      <c r="A97" s="104"/>
      <c r="B97" s="14"/>
      <c r="C97" s="94"/>
      <c r="D97" s="21"/>
      <c r="E97" s="21"/>
      <c r="F97" s="107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customFormat="1" ht="62" customHeight="1" x14ac:dyDescent="0.2">
      <c r="A98" s="104"/>
      <c r="B98" s="14"/>
      <c r="C98" s="94"/>
      <c r="D98" s="21"/>
      <c r="E98" s="21"/>
      <c r="F98" s="107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customFormat="1" ht="62" customHeight="1" x14ac:dyDescent="0.2">
      <c r="A99" s="104"/>
      <c r="B99" s="14"/>
      <c r="C99" s="16"/>
      <c r="D99" s="21"/>
      <c r="E99" s="21"/>
      <c r="F99" s="107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customFormat="1" ht="62" customHeight="1" x14ac:dyDescent="0.2">
      <c r="A100" s="104"/>
      <c r="B100" s="14"/>
      <c r="C100" s="15"/>
      <c r="D100" s="21"/>
      <c r="E100" s="21"/>
      <c r="F100" s="107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customFormat="1" ht="62" customHeight="1" x14ac:dyDescent="0.2">
      <c r="A101" s="104"/>
      <c r="B101" s="14"/>
      <c r="C101" s="16"/>
      <c r="D101" s="21"/>
      <c r="E101" s="21"/>
      <c r="F101" s="107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customFormat="1" ht="62" customHeight="1" x14ac:dyDescent="0.2">
      <c r="A102" s="104"/>
      <c r="B102" s="14"/>
      <c r="C102" s="16"/>
      <c r="D102" s="21"/>
      <c r="E102" s="21"/>
      <c r="F102" s="107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customFormat="1" ht="62" customHeight="1" x14ac:dyDescent="0.2">
      <c r="A103" s="104"/>
      <c r="B103" s="14"/>
      <c r="C103" s="16"/>
      <c r="D103" s="21"/>
      <c r="E103" s="21"/>
      <c r="F103" s="107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customFormat="1" ht="62" customHeight="1" x14ac:dyDescent="0.2">
      <c r="A104" s="104"/>
      <c r="B104" s="14"/>
      <c r="C104" s="16"/>
      <c r="D104" s="21"/>
      <c r="E104" s="21"/>
      <c r="F104" s="107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customFormat="1" ht="62" customHeight="1" x14ac:dyDescent="0.2">
      <c r="A105" s="104"/>
      <c r="B105" s="14"/>
      <c r="C105" s="16"/>
      <c r="D105" s="21"/>
      <c r="E105" s="21"/>
      <c r="F105" s="107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customFormat="1" ht="62" customHeight="1" x14ac:dyDescent="0.2">
      <c r="A106" s="104"/>
      <c r="B106" s="14"/>
      <c r="C106" s="16"/>
      <c r="D106" s="21"/>
      <c r="E106" s="21"/>
      <c r="F106" s="107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customFormat="1" ht="62" customHeight="1" x14ac:dyDescent="0.2">
      <c r="A107" s="104"/>
      <c r="B107" s="14"/>
      <c r="C107" s="16"/>
      <c r="D107" s="21"/>
      <c r="E107" s="21"/>
      <c r="F107" s="107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customFormat="1" ht="62" customHeight="1" x14ac:dyDescent="0.2">
      <c r="A108" s="104"/>
      <c r="B108" s="14"/>
      <c r="C108" s="16"/>
      <c r="D108" s="21"/>
      <c r="E108" s="21"/>
      <c r="F108" s="107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customFormat="1" ht="62" customHeight="1" x14ac:dyDescent="0.2">
      <c r="A109" s="104"/>
      <c r="B109" s="14"/>
      <c r="C109" s="16"/>
      <c r="D109" s="21"/>
      <c r="E109" s="21"/>
      <c r="F109" s="107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customFormat="1" ht="62" customHeight="1" x14ac:dyDescent="0.2">
      <c r="A110" s="104"/>
      <c r="B110" s="14"/>
      <c r="C110" s="16"/>
      <c r="D110" s="21"/>
      <c r="E110" s="21"/>
      <c r="F110" s="107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customFormat="1" ht="62" customHeight="1" x14ac:dyDescent="0.2">
      <c r="A111" s="104"/>
      <c r="B111" s="14"/>
      <c r="C111" s="16"/>
      <c r="D111" s="21"/>
      <c r="E111" s="21"/>
      <c r="F111" s="107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customFormat="1" ht="62" customHeight="1" x14ac:dyDescent="0.2">
      <c r="A112" s="104"/>
      <c r="B112" s="14"/>
      <c r="C112" s="16"/>
      <c r="D112" s="21"/>
      <c r="E112" s="21"/>
      <c r="F112" s="17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customFormat="1" ht="62" customHeight="1" x14ac:dyDescent="0.2">
      <c r="A113" s="104"/>
      <c r="B113" s="14"/>
      <c r="C113" s="16"/>
      <c r="D113" s="21"/>
      <c r="E113" s="21"/>
      <c r="F113" s="17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customFormat="1" ht="62" customHeight="1" x14ac:dyDescent="0.2">
      <c r="A114" s="104"/>
      <c r="B114" s="14"/>
      <c r="C114" s="16"/>
      <c r="D114" s="21"/>
      <c r="E114" s="21"/>
      <c r="F114" s="17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customFormat="1" ht="62" customHeight="1" x14ac:dyDescent="0.2">
      <c r="A115" s="104"/>
      <c r="B115" s="14"/>
      <c r="C115" s="16"/>
      <c r="D115" s="21"/>
      <c r="E115" s="21"/>
      <c r="F115" s="17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customFormat="1" ht="62" customHeight="1" x14ac:dyDescent="0.2">
      <c r="A116" s="104"/>
      <c r="B116" s="14"/>
      <c r="C116" s="16"/>
      <c r="D116" s="21"/>
      <c r="E116" s="21"/>
      <c r="F116" s="17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customFormat="1" ht="62" customHeight="1" x14ac:dyDescent="0.2">
      <c r="A117" s="104"/>
      <c r="B117" s="14"/>
      <c r="C117" s="16"/>
      <c r="D117" s="21"/>
      <c r="E117" s="21"/>
      <c r="F117" s="17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62" customHeight="1" x14ac:dyDescent="0.2">
      <c r="A118" s="104"/>
      <c r="B118" s="14"/>
      <c r="C118" s="16"/>
      <c r="D118" s="21"/>
      <c r="E118" s="21"/>
    </row>
    <row r="119" spans="1:17" ht="62" customHeight="1" x14ac:dyDescent="0.2">
      <c r="A119" s="104"/>
      <c r="B119" s="14"/>
      <c r="C119" s="16"/>
      <c r="D119" s="21"/>
      <c r="E119" s="21"/>
    </row>
    <row r="120" spans="1:17" ht="62" customHeight="1" x14ac:dyDescent="0.2">
      <c r="A120" s="104"/>
      <c r="B120" s="14"/>
      <c r="C120" s="16"/>
      <c r="D120" s="21"/>
      <c r="E120" s="21"/>
    </row>
    <row r="121" spans="1:17" ht="62" customHeight="1" x14ac:dyDescent="0.2">
      <c r="A121" s="104"/>
      <c r="B121" s="14"/>
      <c r="C121" s="16"/>
      <c r="D121" s="21"/>
      <c r="E121" s="21"/>
    </row>
    <row r="122" spans="1:17" ht="62" customHeight="1" x14ac:dyDescent="0.2">
      <c r="A122" s="104"/>
      <c r="B122" s="14"/>
      <c r="C122" s="16"/>
      <c r="D122" s="21"/>
      <c r="E122" s="21"/>
    </row>
    <row r="123" spans="1:17" ht="62" customHeight="1" x14ac:dyDescent="0.2">
      <c r="A123" s="104"/>
      <c r="B123" s="14"/>
      <c r="C123" s="16"/>
      <c r="D123" s="21"/>
      <c r="E123" s="21"/>
    </row>
    <row r="124" spans="1:17" ht="62" customHeight="1" x14ac:dyDescent="0.2">
      <c r="A124" s="104"/>
      <c r="B124" s="14"/>
      <c r="C124" s="16"/>
      <c r="D124" s="21"/>
      <c r="E124" s="21"/>
    </row>
    <row r="125" spans="1:17" ht="62" customHeight="1" x14ac:dyDescent="0.2">
      <c r="A125" s="103"/>
      <c r="B125" s="61"/>
      <c r="C125" s="94"/>
      <c r="D125" s="95"/>
      <c r="E125" s="95"/>
    </row>
    <row r="126" spans="1:17" ht="62" customHeight="1" x14ac:dyDescent="0.2">
      <c r="A126" s="103"/>
      <c r="B126" s="61"/>
      <c r="C126" s="94"/>
      <c r="D126" s="95"/>
      <c r="E126" s="95"/>
    </row>
    <row r="127" spans="1:17" ht="62" customHeight="1" x14ac:dyDescent="0.2">
      <c r="A127" s="103"/>
      <c r="B127" s="61"/>
      <c r="C127" s="94"/>
      <c r="D127" s="95"/>
      <c r="E127" s="95"/>
    </row>
    <row r="128" spans="1:17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ht="62" customHeight="1" x14ac:dyDescent="0.2">
      <c r="D186" s="23"/>
      <c r="E186" s="23"/>
    </row>
    <row r="187" spans="1:5" ht="62" customHeight="1" x14ac:dyDescent="0.2">
      <c r="D187" s="23"/>
      <c r="E187" s="23"/>
    </row>
    <row r="188" spans="1:5" ht="62" customHeight="1" x14ac:dyDescent="0.2">
      <c r="D188" s="23"/>
      <c r="E188" s="23"/>
    </row>
    <row r="189" spans="1:5" ht="62" customHeight="1" x14ac:dyDescent="0.2">
      <c r="D189" s="23"/>
      <c r="E189" s="23"/>
    </row>
    <row r="190" spans="1:5" ht="62" customHeight="1" x14ac:dyDescent="0.2">
      <c r="D190" s="23"/>
      <c r="E190" s="23"/>
    </row>
    <row r="191" spans="1:5" ht="62" customHeight="1" x14ac:dyDescent="0.2">
      <c r="D191" s="23"/>
      <c r="E191" s="23"/>
    </row>
    <row r="192" spans="1:5" ht="62" customHeight="1" x14ac:dyDescent="0.2">
      <c r="D192" s="23"/>
      <c r="E192" s="23"/>
    </row>
    <row r="193" spans="4:5" ht="62" customHeight="1" x14ac:dyDescent="0.2">
      <c r="D193" s="23"/>
      <c r="E193" s="23"/>
    </row>
    <row r="194" spans="4:5" ht="62" customHeight="1" x14ac:dyDescent="0.2">
      <c r="D194" s="23"/>
      <c r="E194" s="23"/>
    </row>
    <row r="195" spans="4:5" ht="62" customHeight="1" x14ac:dyDescent="0.2">
      <c r="D195" s="23"/>
      <c r="E195" s="23"/>
    </row>
    <row r="196" spans="4:5" ht="62" customHeight="1" x14ac:dyDescent="0.2">
      <c r="D196" s="23"/>
      <c r="E196" s="23"/>
    </row>
    <row r="197" spans="4:5" ht="62" customHeight="1" x14ac:dyDescent="0.2">
      <c r="D197" s="23"/>
      <c r="E197" s="23"/>
    </row>
    <row r="198" spans="4:5" ht="62" customHeight="1" x14ac:dyDescent="0.2">
      <c r="D198" s="23"/>
      <c r="E198" s="23"/>
    </row>
    <row r="199" spans="4:5" ht="62" customHeight="1" x14ac:dyDescent="0.2">
      <c r="D199" s="23"/>
      <c r="E199" s="23"/>
    </row>
    <row r="200" spans="4:5" ht="62" customHeight="1" x14ac:dyDescent="0.2">
      <c r="D200" s="23"/>
      <c r="E200" s="23"/>
    </row>
    <row r="201" spans="4:5" ht="62" customHeight="1" x14ac:dyDescent="0.2">
      <c r="D201" s="23"/>
      <c r="E201" s="23"/>
    </row>
    <row r="202" spans="4:5" ht="62" customHeight="1" x14ac:dyDescent="0.2">
      <c r="D202" s="23"/>
      <c r="E202" s="23"/>
    </row>
    <row r="203" spans="4:5" ht="62" customHeight="1" x14ac:dyDescent="0.2">
      <c r="D203" s="23"/>
      <c r="E203" s="23"/>
    </row>
    <row r="204" spans="4:5" ht="62" customHeight="1" x14ac:dyDescent="0.2">
      <c r="D204" s="23"/>
      <c r="E204" s="23"/>
    </row>
    <row r="205" spans="4:5" ht="62" customHeight="1" x14ac:dyDescent="0.2">
      <c r="D205" s="23"/>
      <c r="E205" s="23"/>
    </row>
    <row r="206" spans="4:5" ht="62" customHeight="1" x14ac:dyDescent="0.2">
      <c r="D206" s="23"/>
      <c r="E206" s="23"/>
    </row>
    <row r="207" spans="4:5" x14ac:dyDescent="0.2">
      <c r="D207" s="23"/>
      <c r="E207" s="23"/>
    </row>
    <row r="208" spans="4:5" x14ac:dyDescent="0.2">
      <c r="D208" s="23"/>
      <c r="E208" s="23"/>
    </row>
    <row r="209" spans="4:5" x14ac:dyDescent="0.2">
      <c r="D209" s="23"/>
      <c r="E209" s="23"/>
    </row>
    <row r="210" spans="4:5" x14ac:dyDescent="0.2">
      <c r="D210" s="23"/>
      <c r="E210" s="23"/>
    </row>
    <row r="211" spans="4:5" x14ac:dyDescent="0.2">
      <c r="D211" s="23"/>
      <c r="E211" s="23"/>
    </row>
    <row r="212" spans="4:5" x14ac:dyDescent="0.2">
      <c r="D212" s="23"/>
      <c r="E212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</row>
    <row r="8" spans="1:17" s="17" customFormat="1" ht="62" customHeight="1" x14ac:dyDescent="0.2">
      <c r="A8" s="103"/>
      <c r="B8" s="61"/>
      <c r="C8" s="94"/>
      <c r="D8" s="95"/>
      <c r="E8" s="95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17" customFormat="1" ht="62" customHeight="1" x14ac:dyDescent="0.2">
      <c r="A9" s="103"/>
      <c r="B9" s="61"/>
      <c r="C9" s="94"/>
      <c r="D9" s="95"/>
      <c r="E9" s="95"/>
    </row>
    <row r="10" spans="1:17" s="19" customFormat="1" ht="62" customHeight="1" x14ac:dyDescent="0.2">
      <c r="A10" s="103"/>
      <c r="B10" s="61"/>
      <c r="C10" s="94"/>
      <c r="D10" s="95"/>
      <c r="E10" s="95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17" customFormat="1" ht="62" customHeight="1" x14ac:dyDescent="0.2">
      <c r="A15" s="103"/>
      <c r="B15" s="61"/>
      <c r="C15" s="94"/>
      <c r="D15" s="95"/>
      <c r="E15" s="95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s="20" customFormat="1" ht="62" customHeight="1" x14ac:dyDescent="0.15">
      <c r="A17" s="104"/>
      <c r="B17" s="14"/>
      <c r="C17" s="94"/>
      <c r="D17" s="95"/>
      <c r="E17" s="95"/>
      <c r="F17" s="107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s="20" customFormat="1" ht="62" customHeight="1" x14ac:dyDescent="0.15">
      <c r="A20" s="104"/>
      <c r="B20" s="14"/>
      <c r="C20" s="94"/>
      <c r="D20" s="21"/>
      <c r="E20" s="21"/>
      <c r="F20" s="107"/>
    </row>
    <row r="21" spans="1:7" s="20" customFormat="1" ht="62" customHeight="1" x14ac:dyDescent="0.15">
      <c r="A21" s="104"/>
      <c r="B21" s="14"/>
      <c r="C21" s="94"/>
      <c r="D21" s="21"/>
      <c r="E21" s="21"/>
      <c r="F21" s="107"/>
    </row>
    <row r="22" spans="1:7" s="20" customFormat="1" ht="62" customHeight="1" x14ac:dyDescent="0.15">
      <c r="A22" s="104"/>
      <c r="B22" s="14"/>
      <c r="C22" s="94"/>
      <c r="D22" s="21"/>
      <c r="E22" s="21"/>
      <c r="F22" s="107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G34" s="1"/>
    </row>
    <row r="35" spans="1:7" ht="62" customHeight="1" x14ac:dyDescent="0.2">
      <c r="A35" s="104"/>
      <c r="B35" s="14"/>
      <c r="C35" s="96"/>
      <c r="D35" s="21"/>
      <c r="E35" s="21"/>
      <c r="G35" s="1"/>
    </row>
    <row r="36" spans="1:7" ht="62" customHeight="1" x14ac:dyDescent="0.2">
      <c r="A36" s="104"/>
      <c r="B36" s="14"/>
      <c r="C36" s="96"/>
      <c r="D36" s="21"/>
      <c r="E36" s="21"/>
      <c r="G36" s="1"/>
    </row>
    <row r="37" spans="1:7" ht="62" customHeight="1" x14ac:dyDescent="0.2">
      <c r="A37" s="104"/>
      <c r="B37" s="14"/>
      <c r="C37" s="96"/>
      <c r="D37" s="21"/>
      <c r="E37" s="21"/>
      <c r="G37" s="1"/>
    </row>
    <row r="38" spans="1:7" ht="62" customHeight="1" x14ac:dyDescent="0.2">
      <c r="A38" s="104"/>
      <c r="B38" s="14"/>
      <c r="C38" s="94"/>
      <c r="D38" s="21"/>
      <c r="E38" s="21"/>
      <c r="F38" s="107"/>
    </row>
    <row r="39" spans="1:7" ht="62" customHeight="1" x14ac:dyDescent="0.2">
      <c r="A39" s="104"/>
      <c r="B39" s="14"/>
      <c r="C39" s="94"/>
      <c r="D39" s="21"/>
      <c r="E39" s="21"/>
      <c r="F39" s="107"/>
    </row>
    <row r="40" spans="1:7" ht="62" customHeight="1" x14ac:dyDescent="0.2">
      <c r="A40" s="104"/>
      <c r="B40" s="14"/>
      <c r="C40" s="16"/>
      <c r="D40" s="21"/>
      <c r="E40" s="21"/>
      <c r="F40" s="107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  <c r="F91" s="107"/>
    </row>
    <row r="92" spans="1:6" ht="62" customHeight="1" x14ac:dyDescent="0.2">
      <c r="A92" s="104"/>
      <c r="B92" s="14"/>
      <c r="C92" s="96"/>
      <c r="D92" s="21"/>
      <c r="E92" s="21"/>
      <c r="F92" s="107"/>
    </row>
    <row r="93" spans="1:6" ht="62" customHeight="1" x14ac:dyDescent="0.2">
      <c r="A93" s="104"/>
      <c r="B93" s="14"/>
      <c r="C93" s="96"/>
      <c r="D93" s="21"/>
      <c r="E93" s="21"/>
      <c r="F93" s="107"/>
    </row>
    <row r="94" spans="1:6" ht="62" customHeight="1" x14ac:dyDescent="0.2">
      <c r="A94" s="104"/>
      <c r="B94" s="14"/>
      <c r="C94" s="96"/>
      <c r="D94" s="21"/>
      <c r="E94" s="21"/>
      <c r="F94" s="107"/>
    </row>
    <row r="95" spans="1:6" ht="62" customHeight="1" x14ac:dyDescent="0.2">
      <c r="A95" s="104"/>
      <c r="B95" s="14"/>
      <c r="C95" s="96"/>
      <c r="D95" s="21"/>
      <c r="E95" s="21"/>
      <c r="F95" s="107"/>
    </row>
    <row r="96" spans="1:6" ht="62" customHeight="1" x14ac:dyDescent="0.2">
      <c r="A96" s="104"/>
      <c r="B96" s="14"/>
      <c r="C96" s="96"/>
      <c r="D96" s="21"/>
      <c r="E96" s="21"/>
      <c r="F96" s="107"/>
    </row>
    <row r="97" spans="1:6" ht="62" customHeight="1" x14ac:dyDescent="0.2">
      <c r="A97" s="104"/>
      <c r="B97" s="14"/>
      <c r="C97" s="94"/>
      <c r="D97" s="21"/>
      <c r="E97" s="21"/>
      <c r="F97" s="107"/>
    </row>
    <row r="98" spans="1:6" ht="62" customHeight="1" x14ac:dyDescent="0.2">
      <c r="A98" s="104"/>
      <c r="B98" s="14"/>
      <c r="C98" s="94"/>
      <c r="D98" s="21"/>
      <c r="E98" s="21"/>
    </row>
    <row r="99" spans="1:6" ht="62" customHeight="1" x14ac:dyDescent="0.2">
      <c r="A99" s="104"/>
      <c r="B99" s="14"/>
      <c r="C99" s="16"/>
      <c r="D99" s="21"/>
      <c r="E99" s="21"/>
    </row>
    <row r="100" spans="1:6" ht="62" customHeight="1" x14ac:dyDescent="0.2">
      <c r="A100" s="104"/>
      <c r="B100" s="14"/>
      <c r="C100" s="15"/>
      <c r="D100" s="21"/>
      <c r="E100" s="21"/>
    </row>
    <row r="101" spans="1:6" ht="62" customHeight="1" x14ac:dyDescent="0.2">
      <c r="A101" s="104"/>
      <c r="B101" s="14"/>
      <c r="C101" s="16"/>
      <c r="D101" s="21"/>
      <c r="E101" s="21"/>
    </row>
    <row r="102" spans="1:6" ht="62" customHeight="1" x14ac:dyDescent="0.2">
      <c r="A102" s="104"/>
      <c r="B102" s="14"/>
      <c r="C102" s="16"/>
      <c r="D102" s="21"/>
      <c r="E102" s="21"/>
    </row>
    <row r="103" spans="1:6" ht="62" customHeight="1" x14ac:dyDescent="0.2">
      <c r="A103" s="104"/>
      <c r="B103" s="14"/>
      <c r="C103" s="16"/>
      <c r="D103" s="21"/>
      <c r="E103" s="21"/>
    </row>
    <row r="104" spans="1:6" ht="62" customHeight="1" x14ac:dyDescent="0.2">
      <c r="A104" s="104"/>
      <c r="B104" s="14"/>
      <c r="C104" s="16"/>
      <c r="D104" s="21"/>
      <c r="E104" s="21"/>
    </row>
    <row r="105" spans="1:6" ht="62" customHeight="1" x14ac:dyDescent="0.2">
      <c r="A105" s="104"/>
      <c r="B105" s="14"/>
      <c r="C105" s="16"/>
      <c r="D105" s="21"/>
      <c r="E105" s="21"/>
    </row>
    <row r="106" spans="1:6" ht="62" customHeight="1" x14ac:dyDescent="0.2">
      <c r="A106" s="104"/>
      <c r="B106" s="14"/>
      <c r="C106" s="16"/>
      <c r="D106" s="21"/>
      <c r="E106" s="21"/>
    </row>
    <row r="107" spans="1:6" ht="62" customHeight="1" x14ac:dyDescent="0.2">
      <c r="A107" s="104"/>
      <c r="B107" s="14"/>
      <c r="C107" s="16"/>
      <c r="D107" s="21"/>
      <c r="E107" s="21"/>
    </row>
    <row r="108" spans="1:6" ht="62" customHeight="1" x14ac:dyDescent="0.2">
      <c r="A108" s="104"/>
      <c r="B108" s="14"/>
      <c r="C108" s="16"/>
      <c r="D108" s="21"/>
      <c r="E108" s="21"/>
    </row>
    <row r="109" spans="1:6" ht="62" customHeight="1" x14ac:dyDescent="0.2">
      <c r="A109" s="104"/>
      <c r="B109" s="14"/>
      <c r="C109" s="16"/>
      <c r="D109" s="21"/>
      <c r="E109" s="21"/>
    </row>
    <row r="110" spans="1:6" ht="62" customHeight="1" x14ac:dyDescent="0.2">
      <c r="A110" s="104"/>
      <c r="B110" s="14"/>
      <c r="C110" s="16"/>
      <c r="D110" s="21"/>
      <c r="E110" s="21"/>
    </row>
    <row r="111" spans="1:6" ht="62" customHeight="1" x14ac:dyDescent="0.2">
      <c r="A111" s="104"/>
      <c r="B111" s="14"/>
      <c r="C111" s="16"/>
      <c r="D111" s="21"/>
      <c r="E111" s="21"/>
    </row>
    <row r="112" spans="1:6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ht="62" customHeight="1" x14ac:dyDescent="0.2">
      <c r="D186" s="23"/>
      <c r="E186" s="23"/>
    </row>
    <row r="187" spans="1:5" ht="62" customHeight="1" x14ac:dyDescent="0.2">
      <c r="D187" s="23"/>
      <c r="E187" s="23"/>
    </row>
    <row r="188" spans="1:5" ht="62" customHeight="1" x14ac:dyDescent="0.2">
      <c r="D188" s="23"/>
      <c r="E188" s="23"/>
    </row>
    <row r="189" spans="1:5" ht="62" customHeight="1" x14ac:dyDescent="0.2">
      <c r="D189" s="23"/>
      <c r="E189" s="23"/>
    </row>
    <row r="190" spans="1:5" ht="62" customHeight="1" x14ac:dyDescent="0.2">
      <c r="D190" s="23"/>
      <c r="E190" s="23"/>
    </row>
    <row r="191" spans="1:5" ht="62" customHeight="1" x14ac:dyDescent="0.2">
      <c r="D191" s="23"/>
      <c r="E191" s="23"/>
    </row>
    <row r="192" spans="1:5" ht="62" customHeight="1" x14ac:dyDescent="0.2">
      <c r="D192" s="23"/>
      <c r="E192" s="23"/>
    </row>
    <row r="193" spans="4:5" x14ac:dyDescent="0.2">
      <c r="D193" s="23"/>
      <c r="E193" s="23"/>
    </row>
    <row r="194" spans="4:5" x14ac:dyDescent="0.2">
      <c r="D194" s="23"/>
      <c r="E194" s="23"/>
    </row>
    <row r="195" spans="4:5" x14ac:dyDescent="0.2">
      <c r="D195" s="23"/>
      <c r="E195" s="23"/>
    </row>
    <row r="196" spans="4:5" x14ac:dyDescent="0.2">
      <c r="D196" s="23"/>
      <c r="E196" s="23"/>
    </row>
    <row r="197" spans="4:5" x14ac:dyDescent="0.2">
      <c r="D197" s="23"/>
      <c r="E197" s="23"/>
    </row>
    <row r="198" spans="4:5" x14ac:dyDescent="0.2">
      <c r="D198" s="23"/>
      <c r="E198" s="23"/>
    </row>
  </sheetData>
  <pageMargins left="0.25" right="0.25" top="0.5" bottom="0.5" header="0.3" footer="0.3"/>
  <pageSetup paperSize="9" scale="20" orientation="portrait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188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COUNTA(E7:E13508)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9" customFormat="1" ht="62" customHeight="1" x14ac:dyDescent="0.2">
      <c r="A8" s="103"/>
      <c r="B8" s="61"/>
      <c r="C8" s="94"/>
      <c r="D8" s="95"/>
      <c r="E8" s="95"/>
      <c r="F8" s="17"/>
      <c r="G8" s="17"/>
      <c r="H8" s="17"/>
      <c r="I8" s="17"/>
      <c r="J8" s="17"/>
      <c r="K8" s="17"/>
      <c r="M8" s="17"/>
      <c r="N8" s="17"/>
      <c r="O8" s="17"/>
      <c r="P8" s="17"/>
      <c r="Q8" s="17"/>
    </row>
    <row r="9" spans="1:17" s="17" customFormat="1" ht="62" customHeight="1" x14ac:dyDescent="0.2">
      <c r="A9" s="103"/>
      <c r="B9" s="61"/>
      <c r="C9" s="94"/>
      <c r="D9" s="95"/>
      <c r="E9" s="95"/>
    </row>
    <row r="10" spans="1:17" s="17" customFormat="1" ht="62" customHeight="1" x14ac:dyDescent="0.2">
      <c r="A10" s="103"/>
      <c r="B10" s="61"/>
      <c r="C10" s="94"/>
      <c r="D10" s="95"/>
      <c r="E10" s="95"/>
    </row>
    <row r="11" spans="1:17" s="18" customFormat="1" ht="62" customHeight="1" x14ac:dyDescent="0.2">
      <c r="A11" s="103"/>
      <c r="B11" s="61"/>
      <c r="C11" s="94"/>
      <c r="D11" s="95"/>
      <c r="E11" s="95"/>
      <c r="F11" s="19"/>
      <c r="G11" s="19"/>
      <c r="H11" s="19"/>
      <c r="I11" s="19"/>
      <c r="J11" s="19"/>
      <c r="K11" s="19"/>
      <c r="L11" s="17"/>
      <c r="M11" s="19"/>
      <c r="N11" s="19"/>
      <c r="O11" s="19"/>
      <c r="P11" s="19"/>
      <c r="Q11" s="19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17" customFormat="1" ht="62" customHeight="1" x14ac:dyDescent="0.2">
      <c r="A15" s="103"/>
      <c r="B15" s="61"/>
      <c r="C15" s="94"/>
      <c r="D15" s="95"/>
      <c r="E15" s="95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ht="62" customHeight="1" x14ac:dyDescent="0.2">
      <c r="A17" s="104"/>
      <c r="B17" s="14"/>
      <c r="C17" s="94"/>
      <c r="D17" s="95"/>
      <c r="E17" s="95"/>
      <c r="G17" s="1"/>
    </row>
    <row r="18" spans="1:7" ht="62" customHeight="1" x14ac:dyDescent="0.2">
      <c r="A18" s="104"/>
      <c r="B18" s="14"/>
      <c r="C18" s="94"/>
      <c r="D18" s="21"/>
      <c r="E18" s="21"/>
      <c r="G18" s="1"/>
    </row>
    <row r="19" spans="1:7" ht="62" customHeight="1" x14ac:dyDescent="0.2">
      <c r="A19" s="104"/>
      <c r="B19" s="14"/>
      <c r="C19" s="94"/>
      <c r="D19" s="21"/>
      <c r="E19" s="21"/>
      <c r="G19" s="1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F31" s="107"/>
    </row>
    <row r="32" spans="1:7" ht="62" customHeight="1" x14ac:dyDescent="0.2">
      <c r="A32" s="104"/>
      <c r="B32" s="14"/>
      <c r="C32" s="15"/>
      <c r="D32" s="21"/>
      <c r="E32" s="21"/>
      <c r="F32" s="107"/>
    </row>
    <row r="33" spans="1:6" ht="62" customHeight="1" x14ac:dyDescent="0.2">
      <c r="A33" s="104"/>
      <c r="B33" s="14"/>
      <c r="C33" s="96"/>
      <c r="D33" s="21"/>
      <c r="E33" s="21"/>
      <c r="F33" s="107"/>
    </row>
    <row r="34" spans="1:6" ht="62" customHeight="1" x14ac:dyDescent="0.2">
      <c r="A34" s="104"/>
      <c r="B34" s="14"/>
      <c r="C34" s="96"/>
      <c r="D34" s="21"/>
      <c r="E34" s="21"/>
      <c r="F34" s="107"/>
    </row>
    <row r="35" spans="1:6" ht="62" customHeight="1" x14ac:dyDescent="0.2">
      <c r="A35" s="104"/>
      <c r="B35" s="14"/>
      <c r="C35" s="96"/>
      <c r="D35" s="21"/>
      <c r="E35" s="21"/>
      <c r="F35" s="107"/>
    </row>
    <row r="36" spans="1:6" ht="62" customHeight="1" x14ac:dyDescent="0.2">
      <c r="A36" s="104"/>
      <c r="B36" s="14"/>
      <c r="C36" s="96"/>
      <c r="D36" s="21"/>
      <c r="E36" s="21"/>
      <c r="F36" s="107"/>
    </row>
    <row r="37" spans="1:6" ht="62" customHeight="1" x14ac:dyDescent="0.2">
      <c r="A37" s="104"/>
      <c r="B37" s="14"/>
      <c r="C37" s="96"/>
      <c r="D37" s="21"/>
      <c r="E37" s="21"/>
      <c r="F37" s="107"/>
    </row>
    <row r="38" spans="1:6" ht="62" customHeight="1" x14ac:dyDescent="0.2">
      <c r="A38" s="104"/>
      <c r="B38" s="14"/>
      <c r="C38" s="94"/>
      <c r="D38" s="21"/>
      <c r="E38" s="21"/>
      <c r="F38" s="107"/>
    </row>
    <row r="39" spans="1:6" ht="62" customHeight="1" x14ac:dyDescent="0.2">
      <c r="A39" s="104"/>
      <c r="B39" s="14"/>
      <c r="C39" s="94"/>
      <c r="D39" s="21"/>
      <c r="E39" s="21"/>
      <c r="F39" s="107"/>
    </row>
    <row r="40" spans="1:6" ht="62" customHeight="1" x14ac:dyDescent="0.2">
      <c r="A40" s="104"/>
      <c r="B40" s="14"/>
      <c r="C40" s="16"/>
      <c r="D40" s="21"/>
      <c r="E40" s="21"/>
      <c r="F40" s="107"/>
    </row>
    <row r="41" spans="1:6" ht="62" customHeight="1" x14ac:dyDescent="0.2">
      <c r="A41" s="104"/>
      <c r="B41" s="14"/>
      <c r="C41" s="15"/>
      <c r="D41" s="21"/>
      <c r="E41" s="21"/>
      <c r="F41" s="107"/>
    </row>
    <row r="42" spans="1:6" ht="62" customHeight="1" x14ac:dyDescent="0.2">
      <c r="A42" s="104"/>
      <c r="B42" s="14"/>
      <c r="C42" s="16"/>
      <c r="D42" s="21"/>
      <c r="E42" s="21"/>
      <c r="F42" s="107"/>
    </row>
    <row r="43" spans="1:6" ht="62" customHeight="1" x14ac:dyDescent="0.2">
      <c r="A43" s="104"/>
      <c r="B43" s="14"/>
      <c r="C43" s="16"/>
      <c r="D43" s="21"/>
      <c r="E43" s="21"/>
      <c r="F43" s="107"/>
    </row>
    <row r="44" spans="1:6" ht="62" customHeight="1" x14ac:dyDescent="0.2">
      <c r="A44" s="104"/>
      <c r="B44" s="14"/>
      <c r="C44" s="16"/>
      <c r="D44" s="21"/>
      <c r="E44" s="21"/>
      <c r="F44" s="107"/>
    </row>
    <row r="45" spans="1:6" ht="62" customHeight="1" x14ac:dyDescent="0.2">
      <c r="A45" s="104"/>
      <c r="B45" s="14"/>
      <c r="C45" s="16"/>
      <c r="D45" s="21"/>
      <c r="E45" s="21"/>
      <c r="F45" s="107"/>
    </row>
    <row r="46" spans="1:6" ht="62" customHeight="1" x14ac:dyDescent="0.2">
      <c r="A46" s="104"/>
      <c r="B46" s="14"/>
      <c r="C46" s="16"/>
      <c r="D46" s="21"/>
      <c r="E46" s="21"/>
      <c r="F46" s="107"/>
    </row>
    <row r="47" spans="1:6" ht="62" customHeight="1" x14ac:dyDescent="0.2">
      <c r="A47" s="104"/>
      <c r="B47" s="14"/>
      <c r="C47" s="16"/>
      <c r="D47" s="21"/>
      <c r="E47" s="21"/>
      <c r="F47" s="107"/>
    </row>
    <row r="48" spans="1:6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</row>
    <row r="89" spans="1:6" ht="62" customHeight="1" x14ac:dyDescent="0.2">
      <c r="A89" s="104"/>
      <c r="B89" s="14"/>
      <c r="C89" s="15"/>
      <c r="D89" s="21"/>
      <c r="E89" s="21"/>
    </row>
    <row r="90" spans="1:6" ht="62" customHeight="1" x14ac:dyDescent="0.2">
      <c r="A90" s="104"/>
      <c r="B90" s="14"/>
      <c r="C90" s="94"/>
      <c r="D90" s="21"/>
      <c r="E90" s="21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x14ac:dyDescent="0.2">
      <c r="A183" s="104"/>
      <c r="B183" s="14"/>
      <c r="C183" s="16"/>
      <c r="D183" s="21"/>
      <c r="E183" s="21"/>
    </row>
    <row r="184" spans="1:5" x14ac:dyDescent="0.2">
      <c r="D184" s="23"/>
      <c r="E184" s="23"/>
    </row>
    <row r="185" spans="1:5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198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</row>
    <row r="9" spans="1:17" s="17" customFormat="1" ht="62" customHeight="1" x14ac:dyDescent="0.2">
      <c r="A9" s="103"/>
      <c r="B9" s="61"/>
      <c r="C9" s="94"/>
      <c r="D9" s="95"/>
      <c r="E9" s="95"/>
    </row>
    <row r="10" spans="1:17" s="17" customFormat="1" ht="62" customHeight="1" x14ac:dyDescent="0.2">
      <c r="A10" s="103"/>
      <c r="B10" s="61"/>
      <c r="C10" s="94"/>
      <c r="D10" s="95"/>
      <c r="E10" s="95"/>
      <c r="F10" s="106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</row>
    <row r="11" spans="1:17" s="17" customFormat="1" ht="62" customHeight="1" x14ac:dyDescent="0.2">
      <c r="A11" s="103"/>
      <c r="B11" s="61"/>
      <c r="C11" s="94"/>
      <c r="D11" s="95"/>
      <c r="E11" s="95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</row>
    <row r="12" spans="1:17" s="18" customFormat="1" ht="62" customHeight="1" x14ac:dyDescent="0.2">
      <c r="A12" s="103"/>
      <c r="B12" s="61"/>
      <c r="C12" s="94"/>
      <c r="D12" s="95"/>
      <c r="E12" s="95"/>
      <c r="F12" s="17"/>
      <c r="G12" s="19"/>
      <c r="H12" s="19"/>
      <c r="I12" s="19"/>
      <c r="J12" s="19"/>
      <c r="K12" s="19"/>
      <c r="L12" s="17"/>
      <c r="M12" s="19"/>
      <c r="N12" s="19"/>
      <c r="O12" s="19"/>
      <c r="P12" s="19"/>
      <c r="Q12" s="19"/>
    </row>
    <row r="13" spans="1:17" s="18" customFormat="1" ht="62" customHeight="1" x14ac:dyDescent="0.2">
      <c r="A13" s="103"/>
      <c r="B13" s="61"/>
      <c r="C13" s="94"/>
      <c r="D13" s="95"/>
      <c r="E13" s="95"/>
      <c r="F13" s="17"/>
      <c r="G13" s="19"/>
      <c r="H13" s="19"/>
      <c r="I13" s="19"/>
      <c r="J13" s="19"/>
      <c r="K13" s="19"/>
      <c r="L13" s="17"/>
      <c r="M13" s="19"/>
      <c r="N13" s="19"/>
      <c r="O13" s="19"/>
      <c r="P13" s="19"/>
      <c r="Q13" s="19"/>
    </row>
    <row r="14" spans="1:17" s="18" customFormat="1" ht="62" customHeight="1" x14ac:dyDescent="0.2">
      <c r="A14" s="103"/>
      <c r="B14" s="61"/>
      <c r="C14" s="94"/>
      <c r="D14" s="95"/>
      <c r="E14" s="95"/>
      <c r="F14" s="19"/>
      <c r="G14" s="19"/>
      <c r="H14" s="19"/>
      <c r="I14" s="19"/>
      <c r="J14" s="19"/>
      <c r="K14" s="19"/>
      <c r="L14" s="17"/>
      <c r="M14" s="19"/>
      <c r="N14" s="19"/>
      <c r="O14" s="19"/>
      <c r="P14" s="19"/>
      <c r="Q14" s="19"/>
    </row>
    <row r="15" spans="1:17" s="18" customFormat="1" ht="62" customHeight="1" x14ac:dyDescent="0.2">
      <c r="A15" s="103"/>
      <c r="B15" s="61"/>
      <c r="C15" s="94"/>
      <c r="D15" s="95"/>
      <c r="E15" s="95"/>
      <c r="F15" s="17"/>
      <c r="G15" s="19"/>
      <c r="H15" s="19"/>
      <c r="I15" s="19"/>
      <c r="J15" s="19"/>
      <c r="K15" s="19"/>
      <c r="L15" s="17"/>
      <c r="M15" s="19"/>
      <c r="N15" s="19"/>
      <c r="O15" s="19"/>
      <c r="P15" s="19"/>
      <c r="Q15" s="19"/>
    </row>
    <row r="16" spans="1:17" s="19" customFormat="1" ht="62" customHeight="1" x14ac:dyDescent="0.2">
      <c r="A16" s="104"/>
      <c r="B16" s="14"/>
      <c r="C16" s="94"/>
      <c r="D16" s="95"/>
      <c r="E16" s="95"/>
      <c r="F16" s="17"/>
      <c r="G16" s="17"/>
      <c r="H16" s="17"/>
      <c r="I16" s="17"/>
      <c r="J16" s="17"/>
      <c r="K16" s="17"/>
      <c r="M16" s="17"/>
      <c r="N16" s="17"/>
      <c r="O16" s="17"/>
      <c r="P16" s="17"/>
      <c r="Q16" s="17"/>
    </row>
    <row r="17" spans="1:7" s="17" customFormat="1" ht="62" customHeight="1" x14ac:dyDescent="0.2">
      <c r="A17" s="104"/>
      <c r="B17" s="14"/>
      <c r="C17" s="94"/>
      <c r="D17" s="95"/>
      <c r="E17" s="95"/>
    </row>
    <row r="18" spans="1:7" s="17" customFormat="1" ht="62" customHeight="1" x14ac:dyDescent="0.2">
      <c r="A18" s="104"/>
      <c r="B18" s="14"/>
      <c r="C18" s="94"/>
      <c r="D18" s="21"/>
      <c r="E18" s="21"/>
    </row>
    <row r="19" spans="1:7" s="17" customFormat="1" ht="62" customHeight="1" x14ac:dyDescent="0.2">
      <c r="A19" s="104"/>
      <c r="B19" s="14"/>
      <c r="C19" s="94"/>
      <c r="D19" s="21"/>
      <c r="E19" s="21"/>
    </row>
    <row r="20" spans="1:7" s="17" customFormat="1" ht="62" customHeight="1" x14ac:dyDescent="0.2">
      <c r="A20" s="104"/>
      <c r="B20" s="14"/>
      <c r="C20" s="94"/>
      <c r="D20" s="21"/>
      <c r="E20" s="21"/>
    </row>
    <row r="21" spans="1:7" s="17" customFormat="1" ht="62" customHeight="1" x14ac:dyDescent="0.2">
      <c r="A21" s="104"/>
      <c r="B21" s="14"/>
      <c r="C21" s="94"/>
      <c r="D21" s="21"/>
      <c r="E21" s="21"/>
    </row>
    <row r="22" spans="1:7" s="20" customFormat="1" ht="62" customHeight="1" x14ac:dyDescent="0.15">
      <c r="A22" s="104"/>
      <c r="B22" s="14"/>
      <c r="C22" s="94"/>
      <c r="D22" s="21"/>
      <c r="E22" s="21"/>
      <c r="F22" s="107"/>
    </row>
    <row r="23" spans="1:7" s="20" customFormat="1" ht="62" customHeight="1" x14ac:dyDescent="0.15">
      <c r="A23" s="104"/>
      <c r="B23" s="14"/>
      <c r="C23" s="94"/>
      <c r="D23" s="21"/>
      <c r="E23" s="21"/>
      <c r="F23" s="107"/>
    </row>
    <row r="24" spans="1:7" s="20" customFormat="1" ht="62" customHeight="1" x14ac:dyDescent="0.15">
      <c r="A24" s="104"/>
      <c r="B24" s="14"/>
      <c r="C24" s="96"/>
      <c r="D24" s="21"/>
      <c r="E24" s="21"/>
      <c r="F24" s="107"/>
    </row>
    <row r="25" spans="1:7" s="20" customFormat="1" ht="62" customHeight="1" x14ac:dyDescent="0.15">
      <c r="A25" s="104"/>
      <c r="B25" s="14"/>
      <c r="C25" s="94"/>
      <c r="D25" s="21"/>
      <c r="E25" s="21"/>
      <c r="F25" s="107"/>
    </row>
    <row r="26" spans="1:7" s="20" customFormat="1" ht="62" customHeight="1" x14ac:dyDescent="0.15">
      <c r="A26" s="104"/>
      <c r="B26" s="14"/>
      <c r="C26" s="96"/>
      <c r="D26" s="21"/>
      <c r="E26" s="21"/>
      <c r="F26" s="107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G34" s="1"/>
    </row>
    <row r="35" spans="1:7" ht="62" customHeight="1" x14ac:dyDescent="0.2">
      <c r="A35" s="104"/>
      <c r="B35" s="14"/>
      <c r="C35" s="96"/>
      <c r="D35" s="21"/>
      <c r="E35" s="21"/>
      <c r="G35" s="1"/>
    </row>
    <row r="36" spans="1:7" ht="62" customHeight="1" x14ac:dyDescent="0.2">
      <c r="A36" s="104"/>
      <c r="B36" s="14"/>
      <c r="C36" s="96"/>
      <c r="D36" s="21"/>
      <c r="E36" s="21"/>
      <c r="G36" s="1"/>
    </row>
    <row r="37" spans="1:7" ht="62" customHeight="1" x14ac:dyDescent="0.2">
      <c r="A37" s="104"/>
      <c r="B37" s="14"/>
      <c r="C37" s="96"/>
      <c r="D37" s="21"/>
      <c r="E37" s="21"/>
      <c r="G37" s="1"/>
    </row>
    <row r="38" spans="1:7" ht="62" customHeight="1" x14ac:dyDescent="0.2">
      <c r="A38" s="104"/>
      <c r="B38" s="14"/>
      <c r="C38" s="94"/>
      <c r="D38" s="21"/>
      <c r="E38" s="21"/>
      <c r="G38" s="1"/>
    </row>
    <row r="39" spans="1:7" ht="62" customHeight="1" x14ac:dyDescent="0.2">
      <c r="A39" s="104"/>
      <c r="B39" s="14"/>
      <c r="C39" s="94"/>
      <c r="D39" s="21"/>
      <c r="E39" s="21"/>
      <c r="G39" s="1"/>
    </row>
    <row r="40" spans="1:7" ht="62" customHeight="1" x14ac:dyDescent="0.2">
      <c r="A40" s="104"/>
      <c r="B40" s="14"/>
      <c r="C40" s="16"/>
      <c r="D40" s="21"/>
      <c r="E40" s="21"/>
      <c r="G40" s="1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  <c r="F91" s="107"/>
    </row>
    <row r="92" spans="1:6" ht="62" customHeight="1" x14ac:dyDescent="0.2">
      <c r="A92" s="104"/>
      <c r="B92" s="14"/>
      <c r="C92" s="96"/>
      <c r="D92" s="21"/>
      <c r="E92" s="21"/>
      <c r="F92" s="107"/>
    </row>
    <row r="93" spans="1:6" ht="62" customHeight="1" x14ac:dyDescent="0.2">
      <c r="A93" s="104"/>
      <c r="B93" s="14"/>
      <c r="C93" s="96"/>
      <c r="D93" s="21"/>
      <c r="E93" s="21"/>
      <c r="F93" s="107"/>
    </row>
    <row r="94" spans="1:6" ht="62" customHeight="1" x14ac:dyDescent="0.2">
      <c r="A94" s="104"/>
      <c r="B94" s="14"/>
      <c r="C94" s="96"/>
      <c r="D94" s="21"/>
      <c r="E94" s="21"/>
      <c r="F94" s="107"/>
    </row>
    <row r="95" spans="1:6" ht="62" customHeight="1" x14ac:dyDescent="0.2">
      <c r="A95" s="104"/>
      <c r="B95" s="14"/>
      <c r="C95" s="96"/>
      <c r="D95" s="21"/>
      <c r="E95" s="21"/>
      <c r="F95" s="107"/>
    </row>
    <row r="96" spans="1:6" ht="62" customHeight="1" x14ac:dyDescent="0.2">
      <c r="A96" s="104"/>
      <c r="B96" s="14"/>
      <c r="C96" s="96"/>
      <c r="D96" s="21"/>
      <c r="E96" s="21"/>
      <c r="F96" s="107"/>
    </row>
    <row r="97" spans="1:6" ht="62" customHeight="1" x14ac:dyDescent="0.2">
      <c r="A97" s="104"/>
      <c r="B97" s="14"/>
      <c r="C97" s="94"/>
      <c r="D97" s="21"/>
      <c r="E97" s="21"/>
      <c r="F97" s="107"/>
    </row>
    <row r="98" spans="1:6" ht="62" customHeight="1" x14ac:dyDescent="0.2">
      <c r="A98" s="104"/>
      <c r="B98" s="14"/>
      <c r="C98" s="94"/>
      <c r="D98" s="21"/>
      <c r="E98" s="21"/>
    </row>
    <row r="99" spans="1:6" ht="62" customHeight="1" x14ac:dyDescent="0.2">
      <c r="A99" s="104"/>
      <c r="B99" s="14"/>
      <c r="C99" s="16"/>
      <c r="D99" s="21"/>
      <c r="E99" s="21"/>
    </row>
    <row r="100" spans="1:6" ht="62" customHeight="1" x14ac:dyDescent="0.2">
      <c r="A100" s="104"/>
      <c r="B100" s="14"/>
      <c r="C100" s="15"/>
      <c r="D100" s="21"/>
      <c r="E100" s="21"/>
    </row>
    <row r="101" spans="1:6" ht="62" customHeight="1" x14ac:dyDescent="0.2">
      <c r="A101" s="104"/>
      <c r="B101" s="14"/>
      <c r="C101" s="16"/>
      <c r="D101" s="21"/>
      <c r="E101" s="21"/>
    </row>
    <row r="102" spans="1:6" ht="62" customHeight="1" x14ac:dyDescent="0.2">
      <c r="A102" s="104"/>
      <c r="B102" s="14"/>
      <c r="C102" s="16"/>
      <c r="D102" s="21"/>
      <c r="E102" s="21"/>
    </row>
    <row r="103" spans="1:6" ht="62" customHeight="1" x14ac:dyDescent="0.2">
      <c r="A103" s="104"/>
      <c r="B103" s="14"/>
      <c r="C103" s="16"/>
      <c r="D103" s="21"/>
      <c r="E103" s="21"/>
    </row>
    <row r="104" spans="1:6" ht="62" customHeight="1" x14ac:dyDescent="0.2">
      <c r="A104" s="104"/>
      <c r="B104" s="14"/>
      <c r="C104" s="16"/>
      <c r="D104" s="21"/>
      <c r="E104" s="21"/>
    </row>
    <row r="105" spans="1:6" ht="62" customHeight="1" x14ac:dyDescent="0.2">
      <c r="A105" s="104"/>
      <c r="B105" s="14"/>
      <c r="C105" s="16"/>
      <c r="D105" s="21"/>
      <c r="E105" s="21"/>
    </row>
    <row r="106" spans="1:6" ht="62" customHeight="1" x14ac:dyDescent="0.2">
      <c r="A106" s="104"/>
      <c r="B106" s="14"/>
      <c r="C106" s="16"/>
      <c r="D106" s="21"/>
      <c r="E106" s="21"/>
    </row>
    <row r="107" spans="1:6" ht="62" customHeight="1" x14ac:dyDescent="0.2">
      <c r="A107" s="104"/>
      <c r="B107" s="14"/>
      <c r="C107" s="16"/>
      <c r="D107" s="21"/>
      <c r="E107" s="21"/>
    </row>
    <row r="108" spans="1:6" ht="62" customHeight="1" x14ac:dyDescent="0.2">
      <c r="A108" s="104"/>
      <c r="B108" s="14"/>
      <c r="C108" s="16"/>
      <c r="D108" s="21"/>
      <c r="E108" s="21"/>
    </row>
    <row r="109" spans="1:6" ht="62" customHeight="1" x14ac:dyDescent="0.2">
      <c r="A109" s="104"/>
      <c r="B109" s="14"/>
      <c r="C109" s="16"/>
      <c r="D109" s="21"/>
      <c r="E109" s="21"/>
    </row>
    <row r="110" spans="1:6" ht="62" customHeight="1" x14ac:dyDescent="0.2">
      <c r="A110" s="104"/>
      <c r="B110" s="14"/>
      <c r="C110" s="16"/>
      <c r="D110" s="21"/>
      <c r="E110" s="21"/>
    </row>
    <row r="111" spans="1:6" ht="62" customHeight="1" x14ac:dyDescent="0.2">
      <c r="A111" s="104"/>
      <c r="B111" s="14"/>
      <c r="C111" s="16"/>
      <c r="D111" s="21"/>
      <c r="E111" s="21"/>
    </row>
    <row r="112" spans="1:6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ht="62" customHeight="1" x14ac:dyDescent="0.2">
      <c r="D186" s="23"/>
      <c r="E186" s="23"/>
    </row>
    <row r="187" spans="1:5" ht="62" customHeight="1" x14ac:dyDescent="0.2">
      <c r="D187" s="23"/>
      <c r="E187" s="23"/>
    </row>
    <row r="188" spans="1:5" ht="62" customHeight="1" x14ac:dyDescent="0.2">
      <c r="D188" s="23"/>
      <c r="E188" s="23"/>
    </row>
    <row r="189" spans="1:5" ht="62" customHeight="1" x14ac:dyDescent="0.2">
      <c r="D189" s="23"/>
      <c r="E189" s="23"/>
    </row>
    <row r="190" spans="1:5" ht="62" customHeight="1" x14ac:dyDescent="0.2">
      <c r="D190" s="23"/>
      <c r="E190" s="23"/>
    </row>
    <row r="191" spans="1:5" ht="62" customHeight="1" x14ac:dyDescent="0.2">
      <c r="D191" s="23"/>
      <c r="E191" s="23"/>
    </row>
    <row r="192" spans="1:5" ht="62" customHeight="1" x14ac:dyDescent="0.2">
      <c r="D192" s="23"/>
      <c r="E192" s="23"/>
    </row>
    <row r="193" spans="4:5" x14ac:dyDescent="0.2">
      <c r="D193" s="23"/>
      <c r="E193" s="23"/>
    </row>
    <row r="194" spans="4:5" x14ac:dyDescent="0.2">
      <c r="D194" s="23"/>
      <c r="E194" s="23"/>
    </row>
    <row r="195" spans="4:5" x14ac:dyDescent="0.2">
      <c r="D195" s="23"/>
      <c r="E195" s="23"/>
    </row>
    <row r="196" spans="4:5" x14ac:dyDescent="0.2">
      <c r="D196" s="23"/>
      <c r="E196" s="23"/>
    </row>
    <row r="197" spans="4:5" x14ac:dyDescent="0.2">
      <c r="D197" s="23"/>
      <c r="E197" s="23"/>
    </row>
    <row r="198" spans="4:5" x14ac:dyDescent="0.2">
      <c r="D198" s="23"/>
      <c r="E198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22853-01AA-384A-A7A4-9366E90022A8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  <c r="F7" s="106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</row>
    <row r="8" spans="1:17" s="17" customFormat="1" ht="62" customHeight="1" x14ac:dyDescent="0.2">
      <c r="A8" s="103"/>
      <c r="B8" s="61"/>
      <c r="C8" s="94"/>
      <c r="D8" s="95"/>
      <c r="E8" s="95"/>
    </row>
    <row r="9" spans="1:17" s="18" customFormat="1" ht="62" customHeight="1" x14ac:dyDescent="0.2">
      <c r="A9" s="103"/>
      <c r="B9" s="61"/>
      <c r="C9" s="94"/>
      <c r="D9" s="95"/>
      <c r="E9" s="95"/>
      <c r="F9" s="19"/>
      <c r="G9" s="19"/>
      <c r="H9" s="19"/>
      <c r="I9" s="19"/>
      <c r="J9" s="19"/>
      <c r="K9" s="19"/>
      <c r="L9" s="17"/>
      <c r="M9" s="19"/>
      <c r="N9" s="19"/>
      <c r="O9" s="19"/>
      <c r="P9" s="19"/>
      <c r="Q9" s="19"/>
    </row>
    <row r="10" spans="1:17" s="19" customFormat="1" ht="62" customHeight="1" x14ac:dyDescent="0.2">
      <c r="A10" s="103"/>
      <c r="B10" s="61"/>
      <c r="C10" s="94"/>
      <c r="D10" s="95"/>
      <c r="E10" s="95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20" customFormat="1" ht="62" customHeight="1" x14ac:dyDescent="0.15">
      <c r="A15" s="103"/>
      <c r="B15" s="61"/>
      <c r="C15" s="94"/>
      <c r="D15" s="95"/>
      <c r="E15" s="95"/>
      <c r="F15" s="107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s="20" customFormat="1" ht="62" customHeight="1" x14ac:dyDescent="0.15">
      <c r="A17" s="104"/>
      <c r="B17" s="14"/>
      <c r="C17" s="94"/>
      <c r="D17" s="95"/>
      <c r="E17" s="95"/>
      <c r="F17" s="107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F34" s="107"/>
    </row>
    <row r="35" spans="1:7" ht="62" customHeight="1" x14ac:dyDescent="0.2">
      <c r="A35" s="104"/>
      <c r="B35" s="14"/>
      <c r="C35" s="96"/>
      <c r="D35" s="21"/>
      <c r="E35" s="21"/>
      <c r="F35" s="107"/>
    </row>
    <row r="36" spans="1:7" ht="62" customHeight="1" x14ac:dyDescent="0.2">
      <c r="A36" s="104"/>
      <c r="B36" s="14"/>
      <c r="C36" s="96"/>
      <c r="D36" s="21"/>
      <c r="E36" s="21"/>
      <c r="F36" s="107"/>
    </row>
    <row r="37" spans="1:7" ht="62" customHeight="1" x14ac:dyDescent="0.2">
      <c r="A37" s="104"/>
      <c r="B37" s="14"/>
      <c r="C37" s="96"/>
      <c r="D37" s="21"/>
      <c r="E37" s="21"/>
      <c r="F37" s="107"/>
    </row>
    <row r="38" spans="1:7" ht="62" customHeight="1" x14ac:dyDescent="0.2">
      <c r="A38" s="104"/>
      <c r="B38" s="14"/>
      <c r="C38" s="94"/>
      <c r="D38" s="21"/>
      <c r="E38" s="21"/>
      <c r="F38" s="107"/>
    </row>
    <row r="39" spans="1:7" ht="62" customHeight="1" x14ac:dyDescent="0.2">
      <c r="A39" s="104"/>
      <c r="B39" s="14"/>
      <c r="C39" s="94"/>
      <c r="D39" s="21"/>
      <c r="E39" s="21"/>
      <c r="F39" s="107"/>
    </row>
    <row r="40" spans="1:7" ht="62" customHeight="1" x14ac:dyDescent="0.2">
      <c r="A40" s="104"/>
      <c r="B40" s="14"/>
      <c r="C40" s="16"/>
      <c r="D40" s="21"/>
      <c r="E40" s="21"/>
      <c r="F40" s="107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  <row r="189" spans="1:5" x14ac:dyDescent="0.2">
      <c r="D189" s="23"/>
      <c r="E189" s="23"/>
    </row>
    <row r="190" spans="1:5" x14ac:dyDescent="0.2">
      <c r="D190" s="23"/>
      <c r="E190" s="23"/>
    </row>
    <row r="191" spans="1:5" x14ac:dyDescent="0.2">
      <c r="D191" s="23"/>
      <c r="E191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E9103-D54E-4043-9BEC-BB5B051ED49E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  <c r="F8" s="106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18" customFormat="1" ht="62" customHeight="1" x14ac:dyDescent="0.2">
      <c r="A9" s="103"/>
      <c r="B9" s="61"/>
      <c r="C9" s="94"/>
      <c r="D9" s="95"/>
      <c r="E9" s="95"/>
      <c r="F9" s="19"/>
      <c r="G9" s="19"/>
      <c r="H9" s="19"/>
      <c r="I9" s="19"/>
      <c r="J9" s="19"/>
      <c r="K9" s="19"/>
      <c r="L9" s="17"/>
      <c r="M9" s="19"/>
      <c r="N9" s="19"/>
      <c r="O9" s="19"/>
      <c r="P9" s="19"/>
      <c r="Q9" s="19"/>
    </row>
    <row r="10" spans="1:17" s="19" customFormat="1" ht="62" customHeight="1" x14ac:dyDescent="0.2">
      <c r="A10" s="103"/>
      <c r="B10" s="61"/>
      <c r="C10" s="94"/>
      <c r="D10" s="95"/>
      <c r="E10" s="95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20" customFormat="1" ht="62" customHeight="1" x14ac:dyDescent="0.15">
      <c r="A15" s="103"/>
      <c r="B15" s="61"/>
      <c r="C15" s="94"/>
      <c r="D15" s="95"/>
      <c r="E15" s="95"/>
      <c r="F15" s="107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s="20" customFormat="1" ht="62" customHeight="1" x14ac:dyDescent="0.15">
      <c r="A17" s="104"/>
      <c r="B17" s="14"/>
      <c r="C17" s="94"/>
      <c r="D17" s="95"/>
      <c r="E17" s="95"/>
      <c r="F17" s="107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F34" s="107"/>
    </row>
    <row r="35" spans="1:7" ht="62" customHeight="1" x14ac:dyDescent="0.2">
      <c r="A35" s="104"/>
      <c r="B35" s="14"/>
      <c r="C35" s="96"/>
      <c r="D35" s="21"/>
      <c r="E35" s="21"/>
      <c r="F35" s="107"/>
    </row>
    <row r="36" spans="1:7" ht="62" customHeight="1" x14ac:dyDescent="0.2">
      <c r="A36" s="104"/>
      <c r="B36" s="14"/>
      <c r="C36" s="96"/>
      <c r="D36" s="21"/>
      <c r="E36" s="21"/>
      <c r="F36" s="107"/>
    </row>
    <row r="37" spans="1:7" ht="62" customHeight="1" x14ac:dyDescent="0.2">
      <c r="A37" s="104"/>
      <c r="B37" s="14"/>
      <c r="C37" s="96"/>
      <c r="D37" s="21"/>
      <c r="E37" s="21"/>
      <c r="F37" s="107"/>
    </row>
    <row r="38" spans="1:7" ht="62" customHeight="1" x14ac:dyDescent="0.2">
      <c r="A38" s="104"/>
      <c r="B38" s="14"/>
      <c r="C38" s="94"/>
      <c r="D38" s="21"/>
      <c r="E38" s="21"/>
      <c r="F38" s="107"/>
    </row>
    <row r="39" spans="1:7" ht="62" customHeight="1" x14ac:dyDescent="0.2">
      <c r="A39" s="104"/>
      <c r="B39" s="14"/>
      <c r="C39" s="94"/>
      <c r="D39" s="21"/>
      <c r="E39" s="21"/>
      <c r="F39" s="107"/>
    </row>
    <row r="40" spans="1:7" ht="62" customHeight="1" x14ac:dyDescent="0.2">
      <c r="A40" s="104"/>
      <c r="B40" s="14"/>
      <c r="C40" s="16"/>
      <c r="D40" s="21"/>
      <c r="E40" s="21"/>
      <c r="F40" s="107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  <row r="189" spans="1:5" x14ac:dyDescent="0.2">
      <c r="D189" s="23"/>
      <c r="E189" s="23"/>
    </row>
    <row r="190" spans="1:5" x14ac:dyDescent="0.2">
      <c r="D190" s="23"/>
      <c r="E190" s="23"/>
    </row>
    <row r="191" spans="1:5" x14ac:dyDescent="0.2">
      <c r="D191" s="23"/>
      <c r="E191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53EDB-6B4B-904B-BF10-8B5E1ECBAA4F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  <c r="F8" s="106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18" customFormat="1" ht="62" customHeight="1" x14ac:dyDescent="0.2">
      <c r="A9" s="103"/>
      <c r="B9" s="61"/>
      <c r="C9" s="94"/>
      <c r="D9" s="95"/>
      <c r="E9" s="95"/>
      <c r="F9" s="19"/>
      <c r="G9" s="19"/>
      <c r="H9" s="19"/>
      <c r="I9" s="19"/>
      <c r="J9" s="19"/>
      <c r="K9" s="19"/>
      <c r="L9" s="17"/>
      <c r="M9" s="19"/>
      <c r="N9" s="19"/>
      <c r="O9" s="19"/>
      <c r="P9" s="19"/>
      <c r="Q9" s="19"/>
    </row>
    <row r="10" spans="1:17" s="19" customFormat="1" ht="62" customHeight="1" x14ac:dyDescent="0.2">
      <c r="A10" s="103"/>
      <c r="B10" s="61"/>
      <c r="C10" s="94"/>
      <c r="D10" s="95"/>
      <c r="E10" s="95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20" customFormat="1" ht="62" customHeight="1" x14ac:dyDescent="0.15">
      <c r="A15" s="103"/>
      <c r="B15" s="61"/>
      <c r="C15" s="94"/>
      <c r="D15" s="95"/>
      <c r="E15" s="95"/>
      <c r="F15" s="107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s="20" customFormat="1" ht="62" customHeight="1" x14ac:dyDescent="0.15">
      <c r="A17" s="104"/>
      <c r="B17" s="14"/>
      <c r="C17" s="94"/>
      <c r="D17" s="95"/>
      <c r="E17" s="95"/>
      <c r="F17" s="107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F34" s="107"/>
    </row>
    <row r="35" spans="1:7" ht="62" customHeight="1" x14ac:dyDescent="0.2">
      <c r="A35" s="104"/>
      <c r="B35" s="14"/>
      <c r="C35" s="96"/>
      <c r="D35" s="21"/>
      <c r="E35" s="21"/>
      <c r="F35" s="107"/>
    </row>
    <row r="36" spans="1:7" ht="62" customHeight="1" x14ac:dyDescent="0.2">
      <c r="A36" s="104"/>
      <c r="B36" s="14"/>
      <c r="C36" s="96"/>
      <c r="D36" s="21"/>
      <c r="E36" s="21"/>
      <c r="F36" s="107"/>
    </row>
    <row r="37" spans="1:7" ht="62" customHeight="1" x14ac:dyDescent="0.2">
      <c r="A37" s="104"/>
      <c r="B37" s="14"/>
      <c r="C37" s="96"/>
      <c r="D37" s="21"/>
      <c r="E37" s="21"/>
      <c r="F37" s="107"/>
    </row>
    <row r="38" spans="1:7" ht="62" customHeight="1" x14ac:dyDescent="0.2">
      <c r="A38" s="104"/>
      <c r="B38" s="14"/>
      <c r="C38" s="94"/>
      <c r="D38" s="21"/>
      <c r="E38" s="21"/>
      <c r="F38" s="107"/>
    </row>
    <row r="39" spans="1:7" ht="62" customHeight="1" x14ac:dyDescent="0.2">
      <c r="A39" s="104"/>
      <c r="B39" s="14"/>
      <c r="C39" s="94"/>
      <c r="D39" s="21"/>
      <c r="E39" s="21"/>
      <c r="F39" s="107"/>
    </row>
    <row r="40" spans="1:7" ht="62" customHeight="1" x14ac:dyDescent="0.2">
      <c r="A40" s="104"/>
      <c r="B40" s="14"/>
      <c r="C40" s="16"/>
      <c r="D40" s="21"/>
      <c r="E40" s="21"/>
      <c r="F40" s="107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  <row r="189" spans="1:5" x14ac:dyDescent="0.2">
      <c r="D189" s="23"/>
      <c r="E189" s="23"/>
    </row>
    <row r="190" spans="1:5" x14ac:dyDescent="0.2">
      <c r="D190" s="23"/>
      <c r="E190" s="23"/>
    </row>
    <row r="191" spans="1:5" x14ac:dyDescent="0.2">
      <c r="D191" s="23"/>
      <c r="E191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9952E-033E-D443-8839-6B5053F1DE97}">
  <sheetPr>
    <pageSetUpPr fitToPage="1"/>
  </sheetPr>
  <dimension ref="A1:Q190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  <c r="F8" s="106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18" customFormat="1" ht="62" customHeight="1" x14ac:dyDescent="0.2">
      <c r="A9" s="103"/>
      <c r="B9" s="61"/>
      <c r="C9" s="94"/>
      <c r="D9" s="95"/>
      <c r="E9" s="95"/>
      <c r="F9" s="19"/>
      <c r="G9" s="19"/>
      <c r="H9" s="19"/>
      <c r="I9" s="19"/>
      <c r="J9" s="19"/>
      <c r="K9" s="19"/>
      <c r="L9" s="17"/>
      <c r="M9" s="19"/>
      <c r="N9" s="19"/>
      <c r="O9" s="19"/>
      <c r="P9" s="19"/>
      <c r="Q9" s="19"/>
    </row>
    <row r="10" spans="1:17" s="19" customFormat="1" ht="62" customHeight="1" x14ac:dyDescent="0.2">
      <c r="A10" s="103"/>
      <c r="B10" s="61"/>
      <c r="C10" s="94"/>
      <c r="D10" s="95"/>
      <c r="E10" s="95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20" customFormat="1" ht="62" customHeight="1" x14ac:dyDescent="0.15">
      <c r="A15" s="103"/>
      <c r="B15" s="61"/>
      <c r="C15" s="94"/>
      <c r="D15" s="95"/>
      <c r="E15" s="95"/>
      <c r="F15" s="107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s="20" customFormat="1" ht="62" customHeight="1" x14ac:dyDescent="0.15">
      <c r="A17" s="104"/>
      <c r="B17" s="14"/>
      <c r="C17" s="94"/>
      <c r="D17" s="95"/>
      <c r="E17" s="95"/>
      <c r="F17" s="107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6" ht="62" customHeight="1" x14ac:dyDescent="0.2">
      <c r="A33" s="104"/>
      <c r="B33" s="14"/>
      <c r="C33" s="96"/>
      <c r="D33" s="21"/>
      <c r="E33" s="21"/>
      <c r="F33" s="107"/>
    </row>
    <row r="34" spans="1:6" ht="62" customHeight="1" x14ac:dyDescent="0.2">
      <c r="A34" s="104"/>
      <c r="B34" s="14"/>
      <c r="C34" s="96"/>
      <c r="D34" s="21"/>
      <c r="E34" s="21"/>
      <c r="F34" s="107"/>
    </row>
    <row r="35" spans="1:6" ht="62" customHeight="1" x14ac:dyDescent="0.2">
      <c r="A35" s="104"/>
      <c r="B35" s="14"/>
      <c r="C35" s="96"/>
      <c r="D35" s="21"/>
      <c r="E35" s="21"/>
      <c r="F35" s="107"/>
    </row>
    <row r="36" spans="1:6" ht="62" customHeight="1" x14ac:dyDescent="0.2">
      <c r="A36" s="104"/>
      <c r="B36" s="14"/>
      <c r="C36" s="96"/>
      <c r="D36" s="21"/>
      <c r="E36" s="21"/>
      <c r="F36" s="107"/>
    </row>
    <row r="37" spans="1:6" ht="62" customHeight="1" x14ac:dyDescent="0.2">
      <c r="A37" s="104"/>
      <c r="B37" s="14"/>
      <c r="C37" s="96"/>
      <c r="D37" s="21"/>
      <c r="E37" s="21"/>
      <c r="F37" s="107"/>
    </row>
    <row r="38" spans="1:6" ht="62" customHeight="1" x14ac:dyDescent="0.2">
      <c r="A38" s="104"/>
      <c r="B38" s="14"/>
      <c r="C38" s="94"/>
      <c r="D38" s="21"/>
      <c r="E38" s="21"/>
      <c r="F38" s="107"/>
    </row>
    <row r="39" spans="1:6" ht="62" customHeight="1" x14ac:dyDescent="0.2">
      <c r="A39" s="104"/>
      <c r="B39" s="14"/>
      <c r="C39" s="94"/>
      <c r="D39" s="21"/>
      <c r="E39" s="21"/>
      <c r="F39" s="107"/>
    </row>
    <row r="40" spans="1:6" ht="62" customHeight="1" x14ac:dyDescent="0.2">
      <c r="A40" s="104"/>
      <c r="B40" s="14"/>
      <c r="C40" s="16"/>
      <c r="D40" s="21"/>
      <c r="E40" s="21"/>
      <c r="F40" s="107"/>
    </row>
    <row r="41" spans="1:6" ht="62" customHeight="1" x14ac:dyDescent="0.2">
      <c r="A41" s="104"/>
      <c r="B41" s="14"/>
      <c r="C41" s="15"/>
      <c r="D41" s="21"/>
      <c r="E41" s="21"/>
      <c r="F41" s="107"/>
    </row>
    <row r="42" spans="1:6" ht="62" customHeight="1" x14ac:dyDescent="0.2">
      <c r="A42" s="104"/>
      <c r="B42" s="14"/>
      <c r="C42" s="16"/>
      <c r="D42" s="21"/>
      <c r="E42" s="21"/>
      <c r="F42" s="107"/>
    </row>
    <row r="43" spans="1:6" ht="62" customHeight="1" x14ac:dyDescent="0.2">
      <c r="A43" s="104"/>
      <c r="B43" s="14"/>
      <c r="C43" s="16"/>
      <c r="D43" s="21"/>
      <c r="E43" s="21"/>
      <c r="F43" s="107"/>
    </row>
    <row r="44" spans="1:6" ht="62" customHeight="1" x14ac:dyDescent="0.2">
      <c r="A44" s="104"/>
      <c r="B44" s="14"/>
      <c r="C44" s="16"/>
      <c r="D44" s="21"/>
      <c r="E44" s="21"/>
      <c r="F44" s="107"/>
    </row>
    <row r="45" spans="1:6" ht="62" customHeight="1" x14ac:dyDescent="0.2">
      <c r="A45" s="104"/>
      <c r="B45" s="14"/>
      <c r="C45" s="16"/>
      <c r="D45" s="21"/>
      <c r="E45" s="21"/>
      <c r="F45" s="107"/>
    </row>
    <row r="46" spans="1:6" ht="62" customHeight="1" x14ac:dyDescent="0.2">
      <c r="A46" s="104"/>
      <c r="B46" s="14"/>
      <c r="C46" s="16"/>
      <c r="D46" s="21"/>
      <c r="E46" s="21"/>
      <c r="F46" s="107"/>
    </row>
    <row r="47" spans="1:6" ht="62" customHeight="1" x14ac:dyDescent="0.2">
      <c r="A47" s="104"/>
      <c r="B47" s="14"/>
      <c r="C47" s="16"/>
      <c r="D47" s="21"/>
      <c r="E47" s="21"/>
      <c r="F47" s="107"/>
    </row>
    <row r="48" spans="1:6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  <row r="189" spans="1:5" x14ac:dyDescent="0.2">
      <c r="D189" s="23"/>
      <c r="E189" s="23"/>
    </row>
    <row r="190" spans="1:5" x14ac:dyDescent="0.2">
      <c r="D190" s="23"/>
      <c r="E190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55F8-7200-D84E-9D73-DDE699449625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  <c r="F8" s="106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18" customFormat="1" ht="62" customHeight="1" x14ac:dyDescent="0.2">
      <c r="A9" s="103"/>
      <c r="B9" s="61"/>
      <c r="C9" s="94"/>
      <c r="D9" s="95"/>
      <c r="E9" s="95"/>
      <c r="F9" s="19"/>
      <c r="G9" s="19"/>
      <c r="H9" s="19"/>
      <c r="I9" s="19"/>
      <c r="J9" s="19"/>
      <c r="K9" s="19"/>
      <c r="L9" s="17"/>
      <c r="M9" s="19"/>
      <c r="N9" s="19"/>
      <c r="O9" s="19"/>
      <c r="P9" s="19"/>
      <c r="Q9" s="19"/>
    </row>
    <row r="10" spans="1:17" s="19" customFormat="1" ht="62" customHeight="1" x14ac:dyDescent="0.2">
      <c r="A10" s="103"/>
      <c r="B10" s="61"/>
      <c r="C10" s="94"/>
      <c r="D10" s="95"/>
      <c r="E10" s="95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20" customFormat="1" ht="62" customHeight="1" x14ac:dyDescent="0.15">
      <c r="A15" s="103"/>
      <c r="B15" s="61"/>
      <c r="C15" s="94"/>
      <c r="D15" s="95"/>
      <c r="E15" s="95"/>
      <c r="F15" s="107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s="20" customFormat="1" ht="62" customHeight="1" x14ac:dyDescent="0.15">
      <c r="A17" s="104"/>
      <c r="B17" s="14"/>
      <c r="C17" s="94"/>
      <c r="D17" s="95"/>
      <c r="E17" s="95"/>
      <c r="F17" s="107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F34" s="107"/>
    </row>
    <row r="35" spans="1:7" ht="62" customHeight="1" x14ac:dyDescent="0.2">
      <c r="A35" s="104"/>
      <c r="B35" s="14"/>
      <c r="C35" s="96"/>
      <c r="D35" s="21"/>
      <c r="E35" s="21"/>
      <c r="F35" s="107"/>
    </row>
    <row r="36" spans="1:7" ht="62" customHeight="1" x14ac:dyDescent="0.2">
      <c r="A36" s="104"/>
      <c r="B36" s="14"/>
      <c r="C36" s="96"/>
      <c r="D36" s="21"/>
      <c r="E36" s="21"/>
      <c r="F36" s="107"/>
    </row>
    <row r="37" spans="1:7" ht="62" customHeight="1" x14ac:dyDescent="0.2">
      <c r="A37" s="104"/>
      <c r="B37" s="14"/>
      <c r="C37" s="96"/>
      <c r="D37" s="21"/>
      <c r="E37" s="21"/>
      <c r="F37" s="107"/>
    </row>
    <row r="38" spans="1:7" ht="62" customHeight="1" x14ac:dyDescent="0.2">
      <c r="A38" s="104"/>
      <c r="B38" s="14"/>
      <c r="C38" s="94"/>
      <c r="D38" s="21"/>
      <c r="E38" s="21"/>
      <c r="F38" s="107"/>
    </row>
    <row r="39" spans="1:7" ht="62" customHeight="1" x14ac:dyDescent="0.2">
      <c r="A39" s="104"/>
      <c r="B39" s="14"/>
      <c r="C39" s="94"/>
      <c r="D39" s="21"/>
      <c r="E39" s="21"/>
      <c r="F39" s="107"/>
    </row>
    <row r="40" spans="1:7" ht="62" customHeight="1" x14ac:dyDescent="0.2">
      <c r="A40" s="104"/>
      <c r="B40" s="14"/>
      <c r="C40" s="16"/>
      <c r="D40" s="21"/>
      <c r="E40" s="21"/>
      <c r="F40" s="107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  <row r="189" spans="1:5" x14ac:dyDescent="0.2">
      <c r="D189" s="23"/>
      <c r="E189" s="23"/>
    </row>
    <row r="190" spans="1:5" x14ac:dyDescent="0.2">
      <c r="D190" s="23"/>
      <c r="E190" s="23"/>
    </row>
    <row r="191" spans="1:5" x14ac:dyDescent="0.2">
      <c r="D191" s="23"/>
      <c r="E191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0C344-2D59-6945-A5F8-608B01C1260C}">
  <sheetPr>
    <pageSetUpPr fitToPage="1"/>
  </sheetPr>
  <dimension ref="A1:Q191"/>
  <sheetViews>
    <sheetView showGridLines="0" zoomScale="50" zoomScaleNormal="50" zoomScaleSheetLayoutView="30" zoomScalePageLayoutView="50" workbookViewId="0">
      <selection activeCell="C12" sqref="C12"/>
    </sheetView>
  </sheetViews>
  <sheetFormatPr baseColWidth="10" defaultColWidth="8.6640625" defaultRowHeight="25" x14ac:dyDescent="0.2"/>
  <cols>
    <col min="1" max="1" width="60.33203125" style="105" customWidth="1"/>
    <col min="2" max="2" width="60.33203125" style="1" customWidth="1"/>
    <col min="3" max="3" width="64.6640625" style="1" customWidth="1"/>
    <col min="4" max="4" width="66.1640625" style="22" customWidth="1"/>
    <col min="5" max="5" width="86.33203125" style="22" customWidth="1"/>
    <col min="6" max="6" width="6.6640625" style="17" customWidth="1"/>
    <col min="7" max="7" width="5.33203125" customWidth="1"/>
    <col min="8" max="8" width="40.83203125" style="1" customWidth="1"/>
    <col min="9" max="12" width="5.33203125" style="1" customWidth="1"/>
    <col min="13" max="16384" width="8.6640625" style="1"/>
  </cols>
  <sheetData>
    <row r="1" spans="1:17" ht="68" customHeight="1" x14ac:dyDescent="0.2">
      <c r="A1" s="1"/>
      <c r="C1" s="2"/>
      <c r="D1" s="3"/>
      <c r="E1" s="3"/>
    </row>
    <row r="2" spans="1:17" ht="129" customHeight="1" x14ac:dyDescent="0.2">
      <c r="A2" s="1"/>
      <c r="C2" s="2"/>
      <c r="D2" s="3"/>
      <c r="E2" s="3"/>
    </row>
    <row r="3" spans="1:17" ht="45" customHeight="1" x14ac:dyDescent="0.2">
      <c r="A3" s="4" t="s">
        <v>0</v>
      </c>
      <c r="B3" s="37">
        <v>46113</v>
      </c>
      <c r="C3" s="5" t="s">
        <v>1</v>
      </c>
      <c r="D3" s="6">
        <f>COUNTA(E7:E13510)</f>
        <v>0</v>
      </c>
      <c r="E3" s="1"/>
    </row>
    <row r="4" spans="1:17" ht="47.75" customHeight="1" x14ac:dyDescent="0.2">
      <c r="A4" s="1"/>
      <c r="C4" s="2"/>
      <c r="D4" s="3"/>
      <c r="E4" s="3"/>
    </row>
    <row r="5" spans="1:17" ht="74" x14ac:dyDescent="0.2">
      <c r="A5" s="7" t="s">
        <v>168</v>
      </c>
      <c r="B5" s="7" t="s">
        <v>2</v>
      </c>
      <c r="C5" s="8" t="s">
        <v>3</v>
      </c>
      <c r="D5" s="9" t="s">
        <v>4</v>
      </c>
      <c r="E5" s="9" t="s">
        <v>5</v>
      </c>
      <c r="G5" s="10"/>
    </row>
    <row r="6" spans="1:17" ht="49.25" customHeight="1" x14ac:dyDescent="0.2">
      <c r="A6" s="11" t="s">
        <v>169</v>
      </c>
      <c r="B6" s="11" t="s">
        <v>6</v>
      </c>
      <c r="C6" s="12" t="s">
        <v>7</v>
      </c>
      <c r="D6" s="13" t="s">
        <v>8</v>
      </c>
      <c r="E6" s="13" t="s">
        <v>9</v>
      </c>
      <c r="G6" s="10"/>
    </row>
    <row r="7" spans="1:17" s="17" customFormat="1" ht="62" customHeight="1" x14ac:dyDescent="0.2">
      <c r="A7" s="103"/>
      <c r="B7" s="61"/>
      <c r="C7" s="94"/>
      <c r="D7" s="95"/>
      <c r="E7" s="95"/>
    </row>
    <row r="8" spans="1:17" s="17" customFormat="1" ht="62" customHeight="1" x14ac:dyDescent="0.2">
      <c r="A8" s="103"/>
      <c r="B8" s="61"/>
      <c r="C8" s="94"/>
      <c r="D8" s="95"/>
      <c r="E8" s="95"/>
      <c r="F8" s="106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</row>
    <row r="9" spans="1:17" s="18" customFormat="1" ht="62" customHeight="1" x14ac:dyDescent="0.2">
      <c r="A9" s="103"/>
      <c r="B9" s="61"/>
      <c r="C9" s="94"/>
      <c r="D9" s="95"/>
      <c r="E9" s="95"/>
      <c r="F9" s="19"/>
      <c r="G9" s="19"/>
      <c r="H9" s="19"/>
      <c r="I9" s="19"/>
      <c r="J9" s="19"/>
      <c r="K9" s="19"/>
      <c r="L9" s="17"/>
      <c r="M9" s="19"/>
      <c r="N9" s="19"/>
      <c r="O9" s="19"/>
      <c r="P9" s="19"/>
      <c r="Q9" s="19"/>
    </row>
    <row r="10" spans="1:17" s="19" customFormat="1" ht="62" customHeight="1" x14ac:dyDescent="0.2">
      <c r="A10" s="103"/>
      <c r="B10" s="61"/>
      <c r="C10" s="94"/>
      <c r="D10" s="95"/>
      <c r="E10" s="95"/>
      <c r="F10" s="17"/>
      <c r="G10" s="17"/>
      <c r="H10" s="17"/>
      <c r="I10" s="17"/>
      <c r="J10" s="17"/>
      <c r="K10" s="17"/>
      <c r="M10" s="17"/>
      <c r="N10" s="17"/>
      <c r="O10" s="17"/>
      <c r="P10" s="17"/>
      <c r="Q10" s="17"/>
    </row>
    <row r="11" spans="1:17" s="17" customFormat="1" ht="62" customHeight="1" x14ac:dyDescent="0.2">
      <c r="A11" s="103"/>
      <c r="B11" s="61"/>
      <c r="C11" s="94"/>
      <c r="D11" s="95"/>
      <c r="E11" s="95"/>
    </row>
    <row r="12" spans="1:17" s="17" customFormat="1" ht="62" customHeight="1" x14ac:dyDescent="0.2">
      <c r="A12" s="103"/>
      <c r="B12" s="61"/>
      <c r="C12" s="94"/>
      <c r="D12" s="95"/>
      <c r="E12" s="95"/>
    </row>
    <row r="13" spans="1:17" s="17" customFormat="1" ht="62" customHeight="1" x14ac:dyDescent="0.2">
      <c r="A13" s="103"/>
      <c r="B13" s="61"/>
      <c r="C13" s="94"/>
      <c r="D13" s="95"/>
      <c r="E13" s="95"/>
    </row>
    <row r="14" spans="1:17" s="17" customFormat="1" ht="62" customHeight="1" x14ac:dyDescent="0.2">
      <c r="A14" s="103"/>
      <c r="B14" s="61"/>
      <c r="C14" s="94"/>
      <c r="D14" s="95"/>
      <c r="E14" s="95"/>
    </row>
    <row r="15" spans="1:17" s="20" customFormat="1" ht="62" customHeight="1" x14ac:dyDescent="0.15">
      <c r="A15" s="103"/>
      <c r="B15" s="61"/>
      <c r="C15" s="94"/>
      <c r="D15" s="95"/>
      <c r="E15" s="95"/>
      <c r="F15" s="107"/>
    </row>
    <row r="16" spans="1:17" s="20" customFormat="1" ht="62" customHeight="1" x14ac:dyDescent="0.15">
      <c r="A16" s="104"/>
      <c r="B16" s="14"/>
      <c r="C16" s="94"/>
      <c r="D16" s="95"/>
      <c r="E16" s="95"/>
      <c r="F16" s="107"/>
    </row>
    <row r="17" spans="1:7" s="20" customFormat="1" ht="62" customHeight="1" x14ac:dyDescent="0.15">
      <c r="A17" s="104"/>
      <c r="B17" s="14"/>
      <c r="C17" s="94"/>
      <c r="D17" s="95"/>
      <c r="E17" s="95"/>
      <c r="F17" s="107"/>
    </row>
    <row r="18" spans="1:7" s="20" customFormat="1" ht="62" customHeight="1" x14ac:dyDescent="0.15">
      <c r="A18" s="104"/>
      <c r="B18" s="14"/>
      <c r="C18" s="94"/>
      <c r="D18" s="21"/>
      <c r="E18" s="21"/>
      <c r="F18" s="107"/>
    </row>
    <row r="19" spans="1:7" s="20" customFormat="1" ht="62" customHeight="1" x14ac:dyDescent="0.15">
      <c r="A19" s="104"/>
      <c r="B19" s="14"/>
      <c r="C19" s="94"/>
      <c r="D19" s="21"/>
      <c r="E19" s="21"/>
      <c r="F19" s="107"/>
    </row>
    <row r="20" spans="1:7" ht="62" customHeight="1" x14ac:dyDescent="0.2">
      <c r="A20" s="104"/>
      <c r="B20" s="14"/>
      <c r="C20" s="94"/>
      <c r="D20" s="21"/>
      <c r="E20" s="21"/>
      <c r="G20" s="1"/>
    </row>
    <row r="21" spans="1:7" ht="62" customHeight="1" x14ac:dyDescent="0.2">
      <c r="A21" s="104"/>
      <c r="B21" s="14"/>
      <c r="C21" s="94"/>
      <c r="D21" s="21"/>
      <c r="E21" s="21"/>
      <c r="G21" s="1"/>
    </row>
    <row r="22" spans="1:7" ht="62" customHeight="1" x14ac:dyDescent="0.2">
      <c r="A22" s="104"/>
      <c r="B22" s="14"/>
      <c r="C22" s="94"/>
      <c r="D22" s="21"/>
      <c r="E22" s="21"/>
      <c r="G22" s="1"/>
    </row>
    <row r="23" spans="1:7" ht="62" customHeight="1" x14ac:dyDescent="0.2">
      <c r="A23" s="104"/>
      <c r="B23" s="14"/>
      <c r="C23" s="94"/>
      <c r="D23" s="21"/>
      <c r="E23" s="21"/>
      <c r="G23" s="1"/>
    </row>
    <row r="24" spans="1:7" ht="62" customHeight="1" x14ac:dyDescent="0.2">
      <c r="A24" s="104"/>
      <c r="B24" s="14"/>
      <c r="C24" s="96"/>
      <c r="D24" s="21"/>
      <c r="E24" s="21"/>
      <c r="G24" s="1"/>
    </row>
    <row r="25" spans="1:7" ht="62" customHeight="1" x14ac:dyDescent="0.2">
      <c r="A25" s="104"/>
      <c r="B25" s="14"/>
      <c r="C25" s="94"/>
      <c r="D25" s="21"/>
      <c r="E25" s="21"/>
      <c r="G25" s="1"/>
    </row>
    <row r="26" spans="1:7" ht="62" customHeight="1" x14ac:dyDescent="0.2">
      <c r="A26" s="104"/>
      <c r="B26" s="14"/>
      <c r="C26" s="96"/>
      <c r="D26" s="21"/>
      <c r="E26" s="21"/>
      <c r="G26" s="1"/>
    </row>
    <row r="27" spans="1:7" ht="62" customHeight="1" x14ac:dyDescent="0.2">
      <c r="A27" s="104"/>
      <c r="B27" s="14"/>
      <c r="C27" s="96"/>
      <c r="D27" s="21"/>
      <c r="E27" s="21"/>
      <c r="G27" s="1"/>
    </row>
    <row r="28" spans="1:7" ht="62" customHeight="1" x14ac:dyDescent="0.2">
      <c r="A28" s="104"/>
      <c r="B28" s="14"/>
      <c r="C28" s="94"/>
      <c r="D28" s="21"/>
      <c r="E28" s="21"/>
      <c r="G28" s="1"/>
    </row>
    <row r="29" spans="1:7" ht="62" customHeight="1" x14ac:dyDescent="0.2">
      <c r="A29" s="104"/>
      <c r="B29" s="14"/>
      <c r="C29" s="94"/>
      <c r="D29" s="21"/>
      <c r="E29" s="21"/>
      <c r="G29" s="1"/>
    </row>
    <row r="30" spans="1:7" ht="62" customHeight="1" x14ac:dyDescent="0.2">
      <c r="A30" s="104"/>
      <c r="B30" s="14"/>
      <c r="C30" s="15"/>
      <c r="D30" s="21"/>
      <c r="E30" s="21"/>
      <c r="G30" s="1"/>
    </row>
    <row r="31" spans="1:7" ht="62" customHeight="1" x14ac:dyDescent="0.2">
      <c r="A31" s="104"/>
      <c r="B31" s="14"/>
      <c r="C31" s="94"/>
      <c r="D31" s="21"/>
      <c r="E31" s="21"/>
      <c r="G31" s="1"/>
    </row>
    <row r="32" spans="1:7" ht="62" customHeight="1" x14ac:dyDescent="0.2">
      <c r="A32" s="104"/>
      <c r="B32" s="14"/>
      <c r="C32" s="15"/>
      <c r="D32" s="21"/>
      <c r="E32" s="21"/>
      <c r="G32" s="1"/>
    </row>
    <row r="33" spans="1:7" ht="62" customHeight="1" x14ac:dyDescent="0.2">
      <c r="A33" s="104"/>
      <c r="B33" s="14"/>
      <c r="C33" s="96"/>
      <c r="D33" s="21"/>
      <c r="E33" s="21"/>
      <c r="G33" s="1"/>
    </row>
    <row r="34" spans="1:7" ht="62" customHeight="1" x14ac:dyDescent="0.2">
      <c r="A34" s="104"/>
      <c r="B34" s="14"/>
      <c r="C34" s="96"/>
      <c r="D34" s="21"/>
      <c r="E34" s="21"/>
      <c r="F34" s="107"/>
    </row>
    <row r="35" spans="1:7" ht="62" customHeight="1" x14ac:dyDescent="0.2">
      <c r="A35" s="104"/>
      <c r="B35" s="14"/>
      <c r="C35" s="96"/>
      <c r="D35" s="21"/>
      <c r="E35" s="21"/>
      <c r="F35" s="107"/>
    </row>
    <row r="36" spans="1:7" ht="62" customHeight="1" x14ac:dyDescent="0.2">
      <c r="A36" s="104"/>
      <c r="B36" s="14"/>
      <c r="C36" s="96"/>
      <c r="D36" s="21"/>
      <c r="E36" s="21"/>
      <c r="F36" s="107"/>
    </row>
    <row r="37" spans="1:7" ht="62" customHeight="1" x14ac:dyDescent="0.2">
      <c r="A37" s="104"/>
      <c r="B37" s="14"/>
      <c r="C37" s="96"/>
      <c r="D37" s="21"/>
      <c r="E37" s="21"/>
      <c r="F37" s="107"/>
    </row>
    <row r="38" spans="1:7" ht="62" customHeight="1" x14ac:dyDescent="0.2">
      <c r="A38" s="104"/>
      <c r="B38" s="14"/>
      <c r="C38" s="94"/>
      <c r="D38" s="21"/>
      <c r="E38" s="21"/>
      <c r="F38" s="107"/>
    </row>
    <row r="39" spans="1:7" ht="62" customHeight="1" x14ac:dyDescent="0.2">
      <c r="A39" s="104"/>
      <c r="B39" s="14"/>
      <c r="C39" s="94"/>
      <c r="D39" s="21"/>
      <c r="E39" s="21"/>
      <c r="F39" s="107"/>
    </row>
    <row r="40" spans="1:7" ht="62" customHeight="1" x14ac:dyDescent="0.2">
      <c r="A40" s="104"/>
      <c r="B40" s="14"/>
      <c r="C40" s="16"/>
      <c r="D40" s="21"/>
      <c r="E40" s="21"/>
      <c r="F40" s="107"/>
    </row>
    <row r="41" spans="1:7" ht="62" customHeight="1" x14ac:dyDescent="0.2">
      <c r="A41" s="104"/>
      <c r="B41" s="14"/>
      <c r="C41" s="15"/>
      <c r="D41" s="21"/>
      <c r="E41" s="21"/>
      <c r="F41" s="107"/>
    </row>
    <row r="42" spans="1:7" ht="62" customHeight="1" x14ac:dyDescent="0.2">
      <c r="A42" s="104"/>
      <c r="B42" s="14"/>
      <c r="C42" s="16"/>
      <c r="D42" s="21"/>
      <c r="E42" s="21"/>
      <c r="F42" s="107"/>
    </row>
    <row r="43" spans="1:7" ht="62" customHeight="1" x14ac:dyDescent="0.2">
      <c r="A43" s="104"/>
      <c r="B43" s="14"/>
      <c r="C43" s="16"/>
      <c r="D43" s="21"/>
      <c r="E43" s="21"/>
      <c r="F43" s="107"/>
    </row>
    <row r="44" spans="1:7" ht="62" customHeight="1" x14ac:dyDescent="0.2">
      <c r="A44" s="104"/>
      <c r="B44" s="14"/>
      <c r="C44" s="16"/>
      <c r="D44" s="21"/>
      <c r="E44" s="21"/>
      <c r="F44" s="107"/>
    </row>
    <row r="45" spans="1:7" ht="62" customHeight="1" x14ac:dyDescent="0.2">
      <c r="A45" s="104"/>
      <c r="B45" s="14"/>
      <c r="C45" s="16"/>
      <c r="D45" s="21"/>
      <c r="E45" s="21"/>
      <c r="F45" s="107"/>
    </row>
    <row r="46" spans="1:7" ht="62" customHeight="1" x14ac:dyDescent="0.2">
      <c r="A46" s="104"/>
      <c r="B46" s="14"/>
      <c r="C46" s="16"/>
      <c r="D46" s="21"/>
      <c r="E46" s="21"/>
      <c r="F46" s="107"/>
    </row>
    <row r="47" spans="1:7" ht="62" customHeight="1" x14ac:dyDescent="0.2">
      <c r="A47" s="104"/>
      <c r="B47" s="14"/>
      <c r="C47" s="16"/>
      <c r="D47" s="21"/>
      <c r="E47" s="21"/>
      <c r="F47" s="107"/>
    </row>
    <row r="48" spans="1:7" ht="62" customHeight="1" x14ac:dyDescent="0.2">
      <c r="A48" s="104"/>
      <c r="B48" s="14"/>
      <c r="C48" s="16"/>
      <c r="D48" s="21"/>
      <c r="E48" s="21"/>
      <c r="F48" s="107"/>
    </row>
    <row r="49" spans="1:6" ht="62" customHeight="1" x14ac:dyDescent="0.2">
      <c r="A49" s="104"/>
      <c r="B49" s="14"/>
      <c r="C49" s="16"/>
      <c r="D49" s="21"/>
      <c r="E49" s="21"/>
      <c r="F49" s="107"/>
    </row>
    <row r="50" spans="1:6" ht="62" customHeight="1" x14ac:dyDescent="0.2">
      <c r="A50" s="104"/>
      <c r="B50" s="14"/>
      <c r="C50" s="16"/>
      <c r="D50" s="21"/>
      <c r="E50" s="21"/>
      <c r="F50" s="107"/>
    </row>
    <row r="51" spans="1:6" ht="62" customHeight="1" x14ac:dyDescent="0.2">
      <c r="A51" s="104"/>
      <c r="B51" s="14"/>
      <c r="C51" s="16"/>
      <c r="D51" s="21"/>
      <c r="E51" s="21"/>
      <c r="F51" s="107"/>
    </row>
    <row r="52" spans="1:6" ht="62" customHeight="1" x14ac:dyDescent="0.2">
      <c r="A52" s="104"/>
      <c r="B52" s="14"/>
      <c r="C52" s="16"/>
      <c r="D52" s="21"/>
      <c r="E52" s="21"/>
      <c r="F52" s="107"/>
    </row>
    <row r="53" spans="1:6" ht="62" customHeight="1" x14ac:dyDescent="0.2">
      <c r="A53" s="104"/>
      <c r="B53" s="14"/>
      <c r="C53" s="16"/>
      <c r="D53" s="21"/>
      <c r="E53" s="21"/>
      <c r="F53" s="107"/>
    </row>
    <row r="54" spans="1:6" ht="62" customHeight="1" x14ac:dyDescent="0.2">
      <c r="A54" s="104"/>
      <c r="B54" s="14"/>
      <c r="C54" s="16"/>
      <c r="D54" s="21"/>
      <c r="E54" s="21"/>
      <c r="F54" s="107"/>
    </row>
    <row r="55" spans="1:6" ht="62" customHeight="1" x14ac:dyDescent="0.2">
      <c r="A55" s="104"/>
      <c r="B55" s="14"/>
      <c r="C55" s="16"/>
      <c r="D55" s="21"/>
      <c r="E55" s="21"/>
      <c r="F55" s="107"/>
    </row>
    <row r="56" spans="1:6" ht="62" customHeight="1" x14ac:dyDescent="0.2">
      <c r="A56" s="104"/>
      <c r="B56" s="14"/>
      <c r="C56" s="16"/>
      <c r="D56" s="21"/>
      <c r="E56" s="21"/>
      <c r="F56" s="107"/>
    </row>
    <row r="57" spans="1:6" ht="62" customHeight="1" x14ac:dyDescent="0.2">
      <c r="A57" s="104"/>
      <c r="B57" s="14"/>
      <c r="C57" s="16"/>
      <c r="D57" s="21"/>
      <c r="E57" s="21"/>
      <c r="F57" s="107"/>
    </row>
    <row r="58" spans="1:6" ht="62" customHeight="1" x14ac:dyDescent="0.2">
      <c r="A58" s="104"/>
      <c r="B58" s="14"/>
      <c r="C58" s="16"/>
      <c r="D58" s="21"/>
      <c r="E58" s="21"/>
      <c r="F58" s="107"/>
    </row>
    <row r="59" spans="1:6" ht="62" customHeight="1" x14ac:dyDescent="0.2">
      <c r="A59" s="104"/>
      <c r="B59" s="14"/>
      <c r="C59" s="16"/>
      <c r="D59" s="21"/>
      <c r="E59" s="21"/>
      <c r="F59" s="107"/>
    </row>
    <row r="60" spans="1:6" ht="62" customHeight="1" x14ac:dyDescent="0.2">
      <c r="A60" s="104"/>
      <c r="B60" s="14"/>
      <c r="C60" s="16"/>
      <c r="D60" s="21"/>
      <c r="E60" s="21"/>
      <c r="F60" s="107"/>
    </row>
    <row r="61" spans="1:6" ht="62" customHeight="1" x14ac:dyDescent="0.2">
      <c r="A61" s="104"/>
      <c r="B61" s="14"/>
      <c r="C61" s="16"/>
      <c r="D61" s="21"/>
      <c r="E61" s="21"/>
      <c r="F61" s="107"/>
    </row>
    <row r="62" spans="1:6" ht="62" customHeight="1" x14ac:dyDescent="0.2">
      <c r="A62" s="104"/>
      <c r="B62" s="14"/>
      <c r="C62" s="16"/>
      <c r="D62" s="21"/>
      <c r="E62" s="21"/>
      <c r="F62" s="107"/>
    </row>
    <row r="63" spans="1:6" ht="62" customHeight="1" x14ac:dyDescent="0.2">
      <c r="A63" s="104"/>
      <c r="B63" s="14"/>
      <c r="C63" s="16"/>
      <c r="D63" s="21"/>
      <c r="E63" s="21"/>
      <c r="F63" s="107"/>
    </row>
    <row r="64" spans="1:6" ht="62" customHeight="1" x14ac:dyDescent="0.2">
      <c r="A64" s="104"/>
      <c r="B64" s="14"/>
      <c r="C64" s="16"/>
      <c r="D64" s="21"/>
      <c r="E64" s="21"/>
      <c r="F64" s="107"/>
    </row>
    <row r="65" spans="1:6" ht="62" customHeight="1" x14ac:dyDescent="0.2">
      <c r="A65" s="104"/>
      <c r="B65" s="14"/>
      <c r="C65" s="16"/>
      <c r="D65" s="21"/>
      <c r="E65" s="21"/>
      <c r="F65" s="107"/>
    </row>
    <row r="66" spans="1:6" ht="62" customHeight="1" x14ac:dyDescent="0.2">
      <c r="A66" s="103"/>
      <c r="B66" s="61"/>
      <c r="C66" s="94"/>
      <c r="D66" s="95"/>
      <c r="E66" s="95"/>
      <c r="F66" s="107"/>
    </row>
    <row r="67" spans="1:6" ht="62" customHeight="1" x14ac:dyDescent="0.2">
      <c r="A67" s="103"/>
      <c r="B67" s="61"/>
      <c r="C67" s="94"/>
      <c r="D67" s="95"/>
      <c r="E67" s="95"/>
      <c r="F67" s="107"/>
    </row>
    <row r="68" spans="1:6" ht="62" customHeight="1" x14ac:dyDescent="0.2">
      <c r="A68" s="103"/>
      <c r="B68" s="61"/>
      <c r="C68" s="94"/>
      <c r="D68" s="95"/>
      <c r="E68" s="95"/>
      <c r="F68" s="107"/>
    </row>
    <row r="69" spans="1:6" ht="62" customHeight="1" x14ac:dyDescent="0.2">
      <c r="A69" s="103"/>
      <c r="B69" s="61"/>
      <c r="C69" s="94"/>
      <c r="D69" s="95"/>
      <c r="E69" s="95"/>
      <c r="F69" s="107"/>
    </row>
    <row r="70" spans="1:6" ht="62" customHeight="1" x14ac:dyDescent="0.2">
      <c r="A70" s="103"/>
      <c r="B70" s="61"/>
      <c r="C70" s="94"/>
      <c r="D70" s="95"/>
      <c r="E70" s="95"/>
      <c r="F70" s="107"/>
    </row>
    <row r="71" spans="1:6" ht="62" customHeight="1" x14ac:dyDescent="0.2">
      <c r="A71" s="103"/>
      <c r="B71" s="61"/>
      <c r="C71" s="94"/>
      <c r="D71" s="95"/>
      <c r="E71" s="95"/>
      <c r="F71" s="107"/>
    </row>
    <row r="72" spans="1:6" ht="62" customHeight="1" x14ac:dyDescent="0.2">
      <c r="A72" s="103"/>
      <c r="B72" s="61"/>
      <c r="C72" s="94"/>
      <c r="D72" s="95"/>
      <c r="E72" s="95"/>
      <c r="F72" s="107"/>
    </row>
    <row r="73" spans="1:6" ht="62" customHeight="1" x14ac:dyDescent="0.2">
      <c r="A73" s="103"/>
      <c r="B73" s="61"/>
      <c r="C73" s="94"/>
      <c r="D73" s="95"/>
      <c r="E73" s="95"/>
      <c r="F73" s="107"/>
    </row>
    <row r="74" spans="1:6" ht="62" customHeight="1" x14ac:dyDescent="0.2">
      <c r="A74" s="103"/>
      <c r="B74" s="61"/>
      <c r="C74" s="94"/>
      <c r="D74" s="95"/>
      <c r="E74" s="95"/>
      <c r="F74" s="107"/>
    </row>
    <row r="75" spans="1:6" ht="62" customHeight="1" x14ac:dyDescent="0.2">
      <c r="A75" s="104"/>
      <c r="B75" s="14"/>
      <c r="C75" s="94"/>
      <c r="D75" s="95"/>
      <c r="E75" s="95"/>
      <c r="F75" s="107"/>
    </row>
    <row r="76" spans="1:6" ht="62" customHeight="1" x14ac:dyDescent="0.2">
      <c r="A76" s="104"/>
      <c r="B76" s="14"/>
      <c r="C76" s="94"/>
      <c r="D76" s="95"/>
      <c r="E76" s="95"/>
      <c r="F76" s="107"/>
    </row>
    <row r="77" spans="1:6" ht="62" customHeight="1" x14ac:dyDescent="0.2">
      <c r="A77" s="104"/>
      <c r="B77" s="14"/>
      <c r="C77" s="94"/>
      <c r="D77" s="21"/>
      <c r="E77" s="21"/>
      <c r="F77" s="107"/>
    </row>
    <row r="78" spans="1:6" ht="62" customHeight="1" x14ac:dyDescent="0.2">
      <c r="A78" s="104"/>
      <c r="B78" s="14"/>
      <c r="C78" s="94"/>
      <c r="D78" s="21"/>
      <c r="E78" s="21"/>
      <c r="F78" s="107"/>
    </row>
    <row r="79" spans="1:6" ht="62" customHeight="1" x14ac:dyDescent="0.2">
      <c r="A79" s="104"/>
      <c r="B79" s="14"/>
      <c r="C79" s="94"/>
      <c r="D79" s="21"/>
      <c r="E79" s="21"/>
      <c r="F79" s="107"/>
    </row>
    <row r="80" spans="1:6" ht="62" customHeight="1" x14ac:dyDescent="0.2">
      <c r="A80" s="104"/>
      <c r="B80" s="14"/>
      <c r="C80" s="94"/>
      <c r="D80" s="21"/>
      <c r="E80" s="21"/>
      <c r="F80" s="107"/>
    </row>
    <row r="81" spans="1:6" ht="62" customHeight="1" x14ac:dyDescent="0.2">
      <c r="A81" s="104"/>
      <c r="B81" s="14"/>
      <c r="C81" s="94"/>
      <c r="D81" s="21"/>
      <c r="E81" s="21"/>
      <c r="F81" s="107"/>
    </row>
    <row r="82" spans="1:6" ht="62" customHeight="1" x14ac:dyDescent="0.2">
      <c r="A82" s="104"/>
      <c r="B82" s="14"/>
      <c r="C82" s="94"/>
      <c r="D82" s="21"/>
      <c r="E82" s="21"/>
      <c r="F82" s="107"/>
    </row>
    <row r="83" spans="1:6" ht="62" customHeight="1" x14ac:dyDescent="0.2">
      <c r="A83" s="104"/>
      <c r="B83" s="14"/>
      <c r="C83" s="96"/>
      <c r="D83" s="21"/>
      <c r="E83" s="21"/>
      <c r="F83" s="107"/>
    </row>
    <row r="84" spans="1:6" ht="62" customHeight="1" x14ac:dyDescent="0.2">
      <c r="A84" s="104"/>
      <c r="B84" s="14"/>
      <c r="C84" s="94"/>
      <c r="D84" s="21"/>
      <c r="E84" s="21"/>
      <c r="F84" s="107"/>
    </row>
    <row r="85" spans="1:6" ht="62" customHeight="1" x14ac:dyDescent="0.2">
      <c r="A85" s="104"/>
      <c r="B85" s="14"/>
      <c r="C85" s="96"/>
      <c r="D85" s="21"/>
      <c r="E85" s="21"/>
      <c r="F85" s="107"/>
    </row>
    <row r="86" spans="1:6" ht="62" customHeight="1" x14ac:dyDescent="0.2">
      <c r="A86" s="104"/>
      <c r="B86" s="14"/>
      <c r="C86" s="96"/>
      <c r="D86" s="21"/>
      <c r="E86" s="21"/>
      <c r="F86" s="107"/>
    </row>
    <row r="87" spans="1:6" ht="62" customHeight="1" x14ac:dyDescent="0.2">
      <c r="A87" s="104"/>
      <c r="B87" s="14"/>
      <c r="C87" s="94"/>
      <c r="D87" s="21"/>
      <c r="E87" s="21"/>
      <c r="F87" s="107"/>
    </row>
    <row r="88" spans="1:6" ht="62" customHeight="1" x14ac:dyDescent="0.2">
      <c r="A88" s="104"/>
      <c r="B88" s="14"/>
      <c r="C88" s="94"/>
      <c r="D88" s="21"/>
      <c r="E88" s="21"/>
      <c r="F88" s="107"/>
    </row>
    <row r="89" spans="1:6" ht="62" customHeight="1" x14ac:dyDescent="0.2">
      <c r="A89" s="104"/>
      <c r="B89" s="14"/>
      <c r="C89" s="15"/>
      <c r="D89" s="21"/>
      <c r="E89" s="21"/>
      <c r="F89" s="107"/>
    </row>
    <row r="90" spans="1:6" ht="62" customHeight="1" x14ac:dyDescent="0.2">
      <c r="A90" s="104"/>
      <c r="B90" s="14"/>
      <c r="C90" s="94"/>
      <c r="D90" s="21"/>
      <c r="E90" s="21"/>
      <c r="F90" s="107"/>
    </row>
    <row r="91" spans="1:6" ht="62" customHeight="1" x14ac:dyDescent="0.2">
      <c r="A91" s="104"/>
      <c r="B91" s="14"/>
      <c r="C91" s="15"/>
      <c r="D91" s="21"/>
      <c r="E91" s="21"/>
    </row>
    <row r="92" spans="1:6" ht="62" customHeight="1" x14ac:dyDescent="0.2">
      <c r="A92" s="104"/>
      <c r="B92" s="14"/>
      <c r="C92" s="96"/>
      <c r="D92" s="21"/>
      <c r="E92" s="21"/>
    </row>
    <row r="93" spans="1:6" ht="62" customHeight="1" x14ac:dyDescent="0.2">
      <c r="A93" s="104"/>
      <c r="B93" s="14"/>
      <c r="C93" s="96"/>
      <c r="D93" s="21"/>
      <c r="E93" s="21"/>
    </row>
    <row r="94" spans="1:6" ht="62" customHeight="1" x14ac:dyDescent="0.2">
      <c r="A94" s="104"/>
      <c r="B94" s="14"/>
      <c r="C94" s="96"/>
      <c r="D94" s="21"/>
      <c r="E94" s="21"/>
    </row>
    <row r="95" spans="1:6" ht="62" customHeight="1" x14ac:dyDescent="0.2">
      <c r="A95" s="104"/>
      <c r="B95" s="14"/>
      <c r="C95" s="96"/>
      <c r="D95" s="21"/>
      <c r="E95" s="21"/>
    </row>
    <row r="96" spans="1:6" ht="62" customHeight="1" x14ac:dyDescent="0.2">
      <c r="A96" s="104"/>
      <c r="B96" s="14"/>
      <c r="C96" s="96"/>
      <c r="D96" s="21"/>
      <c r="E96" s="21"/>
    </row>
    <row r="97" spans="1:5" ht="62" customHeight="1" x14ac:dyDescent="0.2">
      <c r="A97" s="104"/>
      <c r="B97" s="14"/>
      <c r="C97" s="94"/>
      <c r="D97" s="21"/>
      <c r="E97" s="21"/>
    </row>
    <row r="98" spans="1:5" ht="62" customHeight="1" x14ac:dyDescent="0.2">
      <c r="A98" s="104"/>
      <c r="B98" s="14"/>
      <c r="C98" s="94"/>
      <c r="D98" s="21"/>
      <c r="E98" s="21"/>
    </row>
    <row r="99" spans="1:5" ht="62" customHeight="1" x14ac:dyDescent="0.2">
      <c r="A99" s="104"/>
      <c r="B99" s="14"/>
      <c r="C99" s="16"/>
      <c r="D99" s="21"/>
      <c r="E99" s="21"/>
    </row>
    <row r="100" spans="1:5" ht="62" customHeight="1" x14ac:dyDescent="0.2">
      <c r="A100" s="104"/>
      <c r="B100" s="14"/>
      <c r="C100" s="15"/>
      <c r="D100" s="21"/>
      <c r="E100" s="21"/>
    </row>
    <row r="101" spans="1:5" ht="62" customHeight="1" x14ac:dyDescent="0.2">
      <c r="A101" s="104"/>
      <c r="B101" s="14"/>
      <c r="C101" s="16"/>
      <c r="D101" s="21"/>
      <c r="E101" s="21"/>
    </row>
    <row r="102" spans="1:5" ht="62" customHeight="1" x14ac:dyDescent="0.2">
      <c r="A102" s="104"/>
      <c r="B102" s="14"/>
      <c r="C102" s="16"/>
      <c r="D102" s="21"/>
      <c r="E102" s="21"/>
    </row>
    <row r="103" spans="1:5" ht="62" customHeight="1" x14ac:dyDescent="0.2">
      <c r="A103" s="104"/>
      <c r="B103" s="14"/>
      <c r="C103" s="16"/>
      <c r="D103" s="21"/>
      <c r="E103" s="21"/>
    </row>
    <row r="104" spans="1:5" ht="62" customHeight="1" x14ac:dyDescent="0.2">
      <c r="A104" s="104"/>
      <c r="B104" s="14"/>
      <c r="C104" s="16"/>
      <c r="D104" s="21"/>
      <c r="E104" s="21"/>
    </row>
    <row r="105" spans="1:5" ht="62" customHeight="1" x14ac:dyDescent="0.2">
      <c r="A105" s="104"/>
      <c r="B105" s="14"/>
      <c r="C105" s="16"/>
      <c r="D105" s="21"/>
      <c r="E105" s="21"/>
    </row>
    <row r="106" spans="1:5" ht="62" customHeight="1" x14ac:dyDescent="0.2">
      <c r="A106" s="104"/>
      <c r="B106" s="14"/>
      <c r="C106" s="16"/>
      <c r="D106" s="21"/>
      <c r="E106" s="21"/>
    </row>
    <row r="107" spans="1:5" ht="62" customHeight="1" x14ac:dyDescent="0.2">
      <c r="A107" s="104"/>
      <c r="B107" s="14"/>
      <c r="C107" s="16"/>
      <c r="D107" s="21"/>
      <c r="E107" s="21"/>
    </row>
    <row r="108" spans="1:5" ht="62" customHeight="1" x14ac:dyDescent="0.2">
      <c r="A108" s="104"/>
      <c r="B108" s="14"/>
      <c r="C108" s="16"/>
      <c r="D108" s="21"/>
      <c r="E108" s="21"/>
    </row>
    <row r="109" spans="1:5" ht="62" customHeight="1" x14ac:dyDescent="0.2">
      <c r="A109" s="104"/>
      <c r="B109" s="14"/>
      <c r="C109" s="16"/>
      <c r="D109" s="21"/>
      <c r="E109" s="21"/>
    </row>
    <row r="110" spans="1:5" ht="62" customHeight="1" x14ac:dyDescent="0.2">
      <c r="A110" s="104"/>
      <c r="B110" s="14"/>
      <c r="C110" s="16"/>
      <c r="D110" s="21"/>
      <c r="E110" s="21"/>
    </row>
    <row r="111" spans="1:5" ht="62" customHeight="1" x14ac:dyDescent="0.2">
      <c r="A111" s="104"/>
      <c r="B111" s="14"/>
      <c r="C111" s="16"/>
      <c r="D111" s="21"/>
      <c r="E111" s="21"/>
    </row>
    <row r="112" spans="1:5" ht="62" customHeight="1" x14ac:dyDescent="0.2">
      <c r="A112" s="104"/>
      <c r="B112" s="14"/>
      <c r="C112" s="16"/>
      <c r="D112" s="21"/>
      <c r="E112" s="21"/>
    </row>
    <row r="113" spans="1:5" ht="62" customHeight="1" x14ac:dyDescent="0.2">
      <c r="A113" s="104"/>
      <c r="B113" s="14"/>
      <c r="C113" s="16"/>
      <c r="D113" s="21"/>
      <c r="E113" s="21"/>
    </row>
    <row r="114" spans="1:5" ht="62" customHeight="1" x14ac:dyDescent="0.2">
      <c r="A114" s="104"/>
      <c r="B114" s="14"/>
      <c r="C114" s="16"/>
      <c r="D114" s="21"/>
      <c r="E114" s="21"/>
    </row>
    <row r="115" spans="1:5" ht="62" customHeight="1" x14ac:dyDescent="0.2">
      <c r="A115" s="104"/>
      <c r="B115" s="14"/>
      <c r="C115" s="16"/>
      <c r="D115" s="21"/>
      <c r="E115" s="21"/>
    </row>
    <row r="116" spans="1:5" ht="62" customHeight="1" x14ac:dyDescent="0.2">
      <c r="A116" s="104"/>
      <c r="B116" s="14"/>
      <c r="C116" s="16"/>
      <c r="D116" s="21"/>
      <c r="E116" s="21"/>
    </row>
    <row r="117" spans="1:5" ht="62" customHeight="1" x14ac:dyDescent="0.2">
      <c r="A117" s="104"/>
      <c r="B117" s="14"/>
      <c r="C117" s="16"/>
      <c r="D117" s="21"/>
      <c r="E117" s="21"/>
    </row>
    <row r="118" spans="1:5" ht="62" customHeight="1" x14ac:dyDescent="0.2">
      <c r="A118" s="104"/>
      <c r="B118" s="14"/>
      <c r="C118" s="16"/>
      <c r="D118" s="21"/>
      <c r="E118" s="21"/>
    </row>
    <row r="119" spans="1:5" ht="62" customHeight="1" x14ac:dyDescent="0.2">
      <c r="A119" s="104"/>
      <c r="B119" s="14"/>
      <c r="C119" s="16"/>
      <c r="D119" s="21"/>
      <c r="E119" s="21"/>
    </row>
    <row r="120" spans="1:5" ht="62" customHeight="1" x14ac:dyDescent="0.2">
      <c r="A120" s="104"/>
      <c r="B120" s="14"/>
      <c r="C120" s="16"/>
      <c r="D120" s="21"/>
      <c r="E120" s="21"/>
    </row>
    <row r="121" spans="1:5" ht="62" customHeight="1" x14ac:dyDescent="0.2">
      <c r="A121" s="104"/>
      <c r="B121" s="14"/>
      <c r="C121" s="16"/>
      <c r="D121" s="21"/>
      <c r="E121" s="21"/>
    </row>
    <row r="122" spans="1:5" ht="62" customHeight="1" x14ac:dyDescent="0.2">
      <c r="A122" s="104"/>
      <c r="B122" s="14"/>
      <c r="C122" s="16"/>
      <c r="D122" s="21"/>
      <c r="E122" s="21"/>
    </row>
    <row r="123" spans="1:5" ht="62" customHeight="1" x14ac:dyDescent="0.2">
      <c r="A123" s="104"/>
      <c r="B123" s="14"/>
      <c r="C123" s="16"/>
      <c r="D123" s="21"/>
      <c r="E123" s="21"/>
    </row>
    <row r="124" spans="1:5" ht="62" customHeight="1" x14ac:dyDescent="0.2">
      <c r="A124" s="104"/>
      <c r="B124" s="14"/>
      <c r="C124" s="16"/>
      <c r="D124" s="21"/>
      <c r="E124" s="21"/>
    </row>
    <row r="125" spans="1:5" ht="62" customHeight="1" x14ac:dyDescent="0.2">
      <c r="A125" s="103"/>
      <c r="B125" s="61"/>
      <c r="C125" s="94"/>
      <c r="D125" s="95"/>
      <c r="E125" s="95"/>
    </row>
    <row r="126" spans="1:5" ht="62" customHeight="1" x14ac:dyDescent="0.2">
      <c r="A126" s="103"/>
      <c r="B126" s="61"/>
      <c r="C126" s="94"/>
      <c r="D126" s="95"/>
      <c r="E126" s="95"/>
    </row>
    <row r="127" spans="1:5" ht="62" customHeight="1" x14ac:dyDescent="0.2">
      <c r="A127" s="103"/>
      <c r="B127" s="61"/>
      <c r="C127" s="94"/>
      <c r="D127" s="95"/>
      <c r="E127" s="95"/>
    </row>
    <row r="128" spans="1:5" ht="62" customHeight="1" x14ac:dyDescent="0.2">
      <c r="A128" s="103"/>
      <c r="B128" s="61"/>
      <c r="C128" s="94"/>
      <c r="D128" s="95"/>
      <c r="E128" s="95"/>
    </row>
    <row r="129" spans="1:5" ht="62" customHeight="1" x14ac:dyDescent="0.2">
      <c r="A129" s="103"/>
      <c r="B129" s="61"/>
      <c r="C129" s="94"/>
      <c r="D129" s="95"/>
      <c r="E129" s="95"/>
    </row>
    <row r="130" spans="1:5" ht="62" customHeight="1" x14ac:dyDescent="0.2">
      <c r="A130" s="103"/>
      <c r="B130" s="61"/>
      <c r="C130" s="94"/>
      <c r="D130" s="95"/>
      <c r="E130" s="95"/>
    </row>
    <row r="131" spans="1:5" ht="62" customHeight="1" x14ac:dyDescent="0.2">
      <c r="A131" s="103"/>
      <c r="B131" s="61"/>
      <c r="C131" s="94"/>
      <c r="D131" s="95"/>
      <c r="E131" s="95"/>
    </row>
    <row r="132" spans="1:5" ht="62" customHeight="1" x14ac:dyDescent="0.2">
      <c r="A132" s="103"/>
      <c r="B132" s="61"/>
      <c r="C132" s="94"/>
      <c r="D132" s="95"/>
      <c r="E132" s="95"/>
    </row>
    <row r="133" spans="1:5" ht="62" customHeight="1" x14ac:dyDescent="0.2">
      <c r="A133" s="103"/>
      <c r="B133" s="61"/>
      <c r="C133" s="94"/>
      <c r="D133" s="95"/>
      <c r="E133" s="95"/>
    </row>
    <row r="134" spans="1:5" ht="62" customHeight="1" x14ac:dyDescent="0.2">
      <c r="A134" s="104"/>
      <c r="B134" s="14"/>
      <c r="C134" s="94"/>
      <c r="D134" s="95"/>
      <c r="E134" s="95"/>
    </row>
    <row r="135" spans="1:5" ht="62" customHeight="1" x14ac:dyDescent="0.2">
      <c r="A135" s="104"/>
      <c r="B135" s="14"/>
      <c r="C135" s="94"/>
      <c r="D135" s="95"/>
      <c r="E135" s="95"/>
    </row>
    <row r="136" spans="1:5" ht="62" customHeight="1" x14ac:dyDescent="0.2">
      <c r="A136" s="104"/>
      <c r="B136" s="14"/>
      <c r="C136" s="94"/>
      <c r="D136" s="21"/>
      <c r="E136" s="21"/>
    </row>
    <row r="137" spans="1:5" ht="62" customHeight="1" x14ac:dyDescent="0.2">
      <c r="A137" s="104"/>
      <c r="B137" s="14"/>
      <c r="C137" s="94"/>
      <c r="D137" s="21"/>
      <c r="E137" s="21"/>
    </row>
    <row r="138" spans="1:5" ht="62" customHeight="1" x14ac:dyDescent="0.2">
      <c r="A138" s="104"/>
      <c r="B138" s="14"/>
      <c r="C138" s="94"/>
      <c r="D138" s="21"/>
      <c r="E138" s="21"/>
    </row>
    <row r="139" spans="1:5" ht="62" customHeight="1" x14ac:dyDescent="0.2">
      <c r="A139" s="104"/>
      <c r="B139" s="14"/>
      <c r="C139" s="94"/>
      <c r="D139" s="21"/>
      <c r="E139" s="21"/>
    </row>
    <row r="140" spans="1:5" ht="62" customHeight="1" x14ac:dyDescent="0.2">
      <c r="A140" s="104"/>
      <c r="B140" s="14"/>
      <c r="C140" s="94"/>
      <c r="D140" s="21"/>
      <c r="E140" s="21"/>
    </row>
    <row r="141" spans="1:5" ht="62" customHeight="1" x14ac:dyDescent="0.2">
      <c r="A141" s="104"/>
      <c r="B141" s="14"/>
      <c r="C141" s="94"/>
      <c r="D141" s="21"/>
      <c r="E141" s="21"/>
    </row>
    <row r="142" spans="1:5" ht="62" customHeight="1" x14ac:dyDescent="0.2">
      <c r="A142" s="104"/>
      <c r="B142" s="14"/>
      <c r="C142" s="96"/>
      <c r="D142" s="21"/>
      <c r="E142" s="21"/>
    </row>
    <row r="143" spans="1:5" ht="62" customHeight="1" x14ac:dyDescent="0.2">
      <c r="A143" s="104"/>
      <c r="B143" s="14"/>
      <c r="C143" s="94"/>
      <c r="D143" s="21"/>
      <c r="E143" s="21"/>
    </row>
    <row r="144" spans="1:5" ht="62" customHeight="1" x14ac:dyDescent="0.2">
      <c r="A144" s="104"/>
      <c r="B144" s="14"/>
      <c r="C144" s="96"/>
      <c r="D144" s="21"/>
      <c r="E144" s="21"/>
    </row>
    <row r="145" spans="1:5" ht="62" customHeight="1" x14ac:dyDescent="0.2">
      <c r="A145" s="104"/>
      <c r="B145" s="14"/>
      <c r="C145" s="96"/>
      <c r="D145" s="21"/>
      <c r="E145" s="21"/>
    </row>
    <row r="146" spans="1:5" ht="62" customHeight="1" x14ac:dyDescent="0.2">
      <c r="A146" s="104"/>
      <c r="B146" s="14"/>
      <c r="C146" s="94"/>
      <c r="D146" s="21"/>
      <c r="E146" s="21"/>
    </row>
    <row r="147" spans="1:5" ht="62" customHeight="1" x14ac:dyDescent="0.2">
      <c r="A147" s="104"/>
      <c r="B147" s="14"/>
      <c r="C147" s="94"/>
      <c r="D147" s="21"/>
      <c r="E147" s="21"/>
    </row>
    <row r="148" spans="1:5" ht="62" customHeight="1" x14ac:dyDescent="0.2">
      <c r="A148" s="104"/>
      <c r="B148" s="14"/>
      <c r="C148" s="15"/>
      <c r="D148" s="21"/>
      <c r="E148" s="21"/>
    </row>
    <row r="149" spans="1:5" ht="62" customHeight="1" x14ac:dyDescent="0.2">
      <c r="A149" s="104"/>
      <c r="B149" s="14"/>
      <c r="C149" s="94"/>
      <c r="D149" s="21"/>
      <c r="E149" s="21"/>
    </row>
    <row r="150" spans="1:5" ht="62" customHeight="1" x14ac:dyDescent="0.2">
      <c r="A150" s="104"/>
      <c r="B150" s="14"/>
      <c r="C150" s="15"/>
      <c r="D150" s="21"/>
      <c r="E150" s="21"/>
    </row>
    <row r="151" spans="1:5" ht="62" customHeight="1" x14ac:dyDescent="0.2">
      <c r="A151" s="104"/>
      <c r="B151" s="14"/>
      <c r="C151" s="96"/>
      <c r="D151" s="21"/>
      <c r="E151" s="21"/>
    </row>
    <row r="152" spans="1:5" ht="62" customHeight="1" x14ac:dyDescent="0.2">
      <c r="A152" s="104"/>
      <c r="B152" s="14"/>
      <c r="C152" s="96"/>
      <c r="D152" s="21"/>
      <c r="E152" s="21"/>
    </row>
    <row r="153" spans="1:5" ht="62" customHeight="1" x14ac:dyDescent="0.2">
      <c r="A153" s="104"/>
      <c r="B153" s="14"/>
      <c r="C153" s="96"/>
      <c r="D153" s="21"/>
      <c r="E153" s="21"/>
    </row>
    <row r="154" spans="1:5" ht="62" customHeight="1" x14ac:dyDescent="0.2">
      <c r="A154" s="104"/>
      <c r="B154" s="14"/>
      <c r="C154" s="96"/>
      <c r="D154" s="21"/>
      <c r="E154" s="21"/>
    </row>
    <row r="155" spans="1:5" ht="62" customHeight="1" x14ac:dyDescent="0.2">
      <c r="A155" s="104"/>
      <c r="B155" s="14"/>
      <c r="C155" s="96"/>
      <c r="D155" s="21"/>
      <c r="E155" s="21"/>
    </row>
    <row r="156" spans="1:5" ht="62" customHeight="1" x14ac:dyDescent="0.2">
      <c r="A156" s="104"/>
      <c r="B156" s="14"/>
      <c r="C156" s="94"/>
      <c r="D156" s="21"/>
      <c r="E156" s="21"/>
    </row>
    <row r="157" spans="1:5" ht="62" customHeight="1" x14ac:dyDescent="0.2">
      <c r="A157" s="104"/>
      <c r="B157" s="14"/>
      <c r="C157" s="94"/>
      <c r="D157" s="21"/>
      <c r="E157" s="21"/>
    </row>
    <row r="158" spans="1:5" ht="62" customHeight="1" x14ac:dyDescent="0.2">
      <c r="A158" s="104"/>
      <c r="B158" s="14"/>
      <c r="C158" s="16"/>
      <c r="D158" s="21"/>
      <c r="E158" s="21"/>
    </row>
    <row r="159" spans="1:5" ht="62" customHeight="1" x14ac:dyDescent="0.2">
      <c r="A159" s="104"/>
      <c r="B159" s="14"/>
      <c r="C159" s="15"/>
      <c r="D159" s="21"/>
      <c r="E159" s="21"/>
    </row>
    <row r="160" spans="1:5" ht="62" customHeight="1" x14ac:dyDescent="0.2">
      <c r="A160" s="104"/>
      <c r="B160" s="14"/>
      <c r="C160" s="16"/>
      <c r="D160" s="21"/>
      <c r="E160" s="21"/>
    </row>
    <row r="161" spans="1:5" ht="62" customHeight="1" x14ac:dyDescent="0.2">
      <c r="A161" s="104"/>
      <c r="B161" s="14"/>
      <c r="C161" s="16"/>
      <c r="D161" s="21"/>
      <c r="E161" s="21"/>
    </row>
    <row r="162" spans="1:5" ht="62" customHeight="1" x14ac:dyDescent="0.2">
      <c r="A162" s="104"/>
      <c r="B162" s="14"/>
      <c r="C162" s="16"/>
      <c r="D162" s="21"/>
      <c r="E162" s="21"/>
    </row>
    <row r="163" spans="1:5" ht="62" customHeight="1" x14ac:dyDescent="0.2">
      <c r="A163" s="104"/>
      <c r="B163" s="14"/>
      <c r="C163" s="16"/>
      <c r="D163" s="21"/>
      <c r="E163" s="21"/>
    </row>
    <row r="164" spans="1:5" ht="62" customHeight="1" x14ac:dyDescent="0.2">
      <c r="A164" s="104"/>
      <c r="B164" s="14"/>
      <c r="C164" s="16"/>
      <c r="D164" s="21"/>
      <c r="E164" s="21"/>
    </row>
    <row r="165" spans="1:5" ht="62" customHeight="1" x14ac:dyDescent="0.2">
      <c r="A165" s="104"/>
      <c r="B165" s="14"/>
      <c r="C165" s="16"/>
      <c r="D165" s="21"/>
      <c r="E165" s="21"/>
    </row>
    <row r="166" spans="1:5" ht="62" customHeight="1" x14ac:dyDescent="0.2">
      <c r="A166" s="104"/>
      <c r="B166" s="14"/>
      <c r="C166" s="16"/>
      <c r="D166" s="21"/>
      <c r="E166" s="21"/>
    </row>
    <row r="167" spans="1:5" ht="62" customHeight="1" x14ac:dyDescent="0.2">
      <c r="A167" s="104"/>
      <c r="B167" s="14"/>
      <c r="C167" s="16"/>
      <c r="D167" s="21"/>
      <c r="E167" s="21"/>
    </row>
    <row r="168" spans="1:5" ht="62" customHeight="1" x14ac:dyDescent="0.2">
      <c r="A168" s="104"/>
      <c r="B168" s="14"/>
      <c r="C168" s="16"/>
      <c r="D168" s="21"/>
      <c r="E168" s="21"/>
    </row>
    <row r="169" spans="1:5" ht="62" customHeight="1" x14ac:dyDescent="0.2">
      <c r="A169" s="104"/>
      <c r="B169" s="14"/>
      <c r="C169" s="16"/>
      <c r="D169" s="21"/>
      <c r="E169" s="21"/>
    </row>
    <row r="170" spans="1:5" ht="62" customHeight="1" x14ac:dyDescent="0.2">
      <c r="A170" s="104"/>
      <c r="B170" s="14"/>
      <c r="C170" s="16"/>
      <c r="D170" s="21"/>
      <c r="E170" s="21"/>
    </row>
    <row r="171" spans="1:5" ht="62" customHeight="1" x14ac:dyDescent="0.2">
      <c r="A171" s="104"/>
      <c r="B171" s="14"/>
      <c r="C171" s="16"/>
      <c r="D171" s="21"/>
      <c r="E171" s="21"/>
    </row>
    <row r="172" spans="1:5" ht="62" customHeight="1" x14ac:dyDescent="0.2">
      <c r="A172" s="104"/>
      <c r="B172" s="14"/>
      <c r="C172" s="16"/>
      <c r="D172" s="21"/>
      <c r="E172" s="21"/>
    </row>
    <row r="173" spans="1:5" ht="62" customHeight="1" x14ac:dyDescent="0.2">
      <c r="A173" s="104"/>
      <c r="B173" s="14"/>
      <c r="C173" s="16"/>
      <c r="D173" s="21"/>
      <c r="E173" s="21"/>
    </row>
    <row r="174" spans="1:5" ht="62" customHeight="1" x14ac:dyDescent="0.2">
      <c r="A174" s="104"/>
      <c r="B174" s="14"/>
      <c r="C174" s="16"/>
      <c r="D174" s="21"/>
      <c r="E174" s="21"/>
    </row>
    <row r="175" spans="1:5" ht="62" customHeight="1" x14ac:dyDescent="0.2">
      <c r="A175" s="104"/>
      <c r="B175" s="14"/>
      <c r="C175" s="16"/>
      <c r="D175" s="21"/>
      <c r="E175" s="21"/>
    </row>
    <row r="176" spans="1:5" ht="62" customHeight="1" x14ac:dyDescent="0.2">
      <c r="A176" s="104"/>
      <c r="B176" s="14"/>
      <c r="C176" s="16"/>
      <c r="D176" s="21"/>
      <c r="E176" s="21"/>
    </row>
    <row r="177" spans="1:5" ht="62" customHeight="1" x14ac:dyDescent="0.2">
      <c r="A177" s="104"/>
      <c r="B177" s="14"/>
      <c r="C177" s="16"/>
      <c r="D177" s="21"/>
      <c r="E177" s="21"/>
    </row>
    <row r="178" spans="1:5" ht="62" customHeight="1" x14ac:dyDescent="0.2">
      <c r="A178" s="104"/>
      <c r="B178" s="14"/>
      <c r="C178" s="16"/>
      <c r="D178" s="21"/>
      <c r="E178" s="21"/>
    </row>
    <row r="179" spans="1:5" ht="62" customHeight="1" x14ac:dyDescent="0.2">
      <c r="A179" s="104"/>
      <c r="B179" s="14"/>
      <c r="C179" s="16"/>
      <c r="D179" s="21"/>
      <c r="E179" s="21"/>
    </row>
    <row r="180" spans="1:5" ht="62" customHeight="1" x14ac:dyDescent="0.2">
      <c r="A180" s="104"/>
      <c r="B180" s="14"/>
      <c r="C180" s="16"/>
      <c r="D180" s="21"/>
      <c r="E180" s="21"/>
    </row>
    <row r="181" spans="1:5" ht="62" customHeight="1" x14ac:dyDescent="0.2">
      <c r="A181" s="104"/>
      <c r="B181" s="14"/>
      <c r="C181" s="16"/>
      <c r="D181" s="21"/>
      <c r="E181" s="21"/>
    </row>
    <row r="182" spans="1:5" ht="62" customHeight="1" x14ac:dyDescent="0.2">
      <c r="A182" s="104"/>
      <c r="B182" s="14"/>
      <c r="C182" s="16"/>
      <c r="D182" s="21"/>
      <c r="E182" s="21"/>
    </row>
    <row r="183" spans="1:5" ht="62" customHeight="1" x14ac:dyDescent="0.2">
      <c r="A183" s="104"/>
      <c r="B183" s="14"/>
      <c r="C183" s="16"/>
      <c r="D183" s="21"/>
      <c r="E183" s="21"/>
    </row>
    <row r="184" spans="1:5" ht="62" customHeight="1" x14ac:dyDescent="0.2">
      <c r="D184" s="23"/>
      <c r="E184" s="23"/>
    </row>
    <row r="185" spans="1:5" ht="62" customHeight="1" x14ac:dyDescent="0.2">
      <c r="D185" s="23"/>
      <c r="E185" s="23"/>
    </row>
    <row r="186" spans="1:5" x14ac:dyDescent="0.2">
      <c r="D186" s="23"/>
      <c r="E186" s="23"/>
    </row>
    <row r="187" spans="1:5" x14ac:dyDescent="0.2">
      <c r="D187" s="23"/>
      <c r="E187" s="23"/>
    </row>
    <row r="188" spans="1:5" x14ac:dyDescent="0.2">
      <c r="D188" s="23"/>
      <c r="E188" s="23"/>
    </row>
    <row r="189" spans="1:5" x14ac:dyDescent="0.2">
      <c r="D189" s="23"/>
      <c r="E189" s="23"/>
    </row>
    <row r="190" spans="1:5" x14ac:dyDescent="0.2">
      <c r="D190" s="23"/>
      <c r="E190" s="23"/>
    </row>
    <row r="191" spans="1:5" x14ac:dyDescent="0.2">
      <c r="D191" s="23"/>
      <c r="E191" s="23"/>
    </row>
  </sheetData>
  <pageMargins left="0.25" right="0.25" top="0.5" bottom="0.5" header="0.3" footer="0.3"/>
  <pageSetup paperSize="9" scale="23" orientation="portrait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3</vt:i4>
      </vt:variant>
    </vt:vector>
  </HeadingPairs>
  <TitlesOfParts>
    <vt:vector size="22" baseType="lpstr">
      <vt:lpstr>REPORT 2</vt:lpstr>
      <vt:lpstr>REPORT</vt:lpstr>
      <vt:lpstr>RUH - Al Malaz</vt:lpstr>
      <vt:lpstr>RUH - Al Sahafa</vt:lpstr>
      <vt:lpstr>RUH - Al Aarid</vt:lpstr>
      <vt:lpstr>RUH - Al Fayha</vt:lpstr>
      <vt:lpstr>RUH - Al Uraija</vt:lpstr>
      <vt:lpstr>RUH - Badr</vt:lpstr>
      <vt:lpstr>RUH - Al Badia</vt:lpstr>
      <vt:lpstr>JED - Al Basateen</vt:lpstr>
      <vt:lpstr>JED - Al Faisaliyah</vt:lpstr>
      <vt:lpstr>JED - Al Naeem</vt:lpstr>
      <vt:lpstr>DMM - Al Faisaliyah</vt:lpstr>
      <vt:lpstr>DMM - Al Jalawiah</vt:lpstr>
      <vt:lpstr>ALQ - Buraidah</vt:lpstr>
      <vt:lpstr>ALQ - Unaizah</vt:lpstr>
      <vt:lpstr>Al Ahsaa</vt:lpstr>
      <vt:lpstr>AlUla</vt:lpstr>
      <vt:lpstr>Tabuk</vt:lpstr>
      <vt:lpstr>REPORT!Print_Area</vt:lpstr>
      <vt:lpstr>'REPORT 2'!Print_Area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2025-11-21T09:46:46Z</cp:lastPrinted>
  <dcterms:created xsi:type="dcterms:W3CDTF">2025-06-09T04:45:46Z</dcterms:created>
  <dcterms:modified xsi:type="dcterms:W3CDTF">2026-04-12T15:46:07Z</dcterms:modified>
</cp:coreProperties>
</file>