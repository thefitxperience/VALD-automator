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ndyayas/VALD Automator/"/>
    </mc:Choice>
  </mc:AlternateContent>
  <xr:revisionPtr revIDLastSave="0" documentId="13_ncr:1_{7A58FCDD-2E0D-CB49-B375-4ECEE175669B}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REPORT 2" sheetId="1" r:id="rId1"/>
    <sheet name="REPORT" sheetId="2" r:id="rId2"/>
    <sheet name="RUH - Al Malaz" sheetId="3" r:id="rId3"/>
    <sheet name="RUH - Al Sahafa" sheetId="4" r:id="rId4"/>
    <sheet name="RUH - Al Aarid" sheetId="5" r:id="rId5"/>
    <sheet name="RUH - Al Fayha" sheetId="6" r:id="rId6"/>
    <sheet name="RUH - Al Uraija" sheetId="7" r:id="rId7"/>
    <sheet name="RUH - Badr" sheetId="8" r:id="rId8"/>
    <sheet name="RUH - Al Badia" sheetId="9" r:id="rId9"/>
    <sheet name="JED - Al Basateen" sheetId="10" r:id="rId10"/>
    <sheet name="JED - Al Faisaliyah" sheetId="11" r:id="rId11"/>
    <sheet name="JED - Al Naeem" sheetId="12" r:id="rId12"/>
    <sheet name="JED - Obhor" sheetId="13" r:id="rId13"/>
    <sheet name="DMM - Al Faisaliyah" sheetId="14" r:id="rId14"/>
    <sheet name="DMM - Al Jalawiah" sheetId="15" r:id="rId15"/>
    <sheet name="DMM - Al Nada" sheetId="16" r:id="rId16"/>
    <sheet name="ALQ - Al Rayyan" sheetId="23" r:id="rId17"/>
    <sheet name="ALQ - Buraidah" sheetId="18" r:id="rId18"/>
    <sheet name="ALQ - Unaizah" sheetId="19" r:id="rId19"/>
    <sheet name="Al Ahsaa" sheetId="20" r:id="rId20"/>
    <sheet name="AlUla" sheetId="21" r:id="rId21"/>
    <sheet name="Tabuk" sheetId="22" r:id="rId22"/>
  </sheets>
  <definedNames>
    <definedName name="_xlnm.Print_Area" localSheetId="1">REPORT!$A$1:$D$217</definedName>
    <definedName name="_xlnm.Print_Area" localSheetId="0">'REPORT 2'!$A$1:$G$14</definedName>
    <definedName name="_xlnm.Print_Titles" localSheetId="0">'REPORT 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3" l="1"/>
  <c r="D3" i="22"/>
  <c r="D3" i="21"/>
  <c r="D3" i="20"/>
  <c r="D3" i="19"/>
  <c r="D3" i="18"/>
  <c r="D3" i="16"/>
  <c r="D3" i="15"/>
  <c r="D3" i="14"/>
  <c r="D3" i="13"/>
  <c r="D3" i="12"/>
  <c r="D3" i="11"/>
  <c r="D3" i="10"/>
  <c r="D3" i="9"/>
  <c r="D3" i="8"/>
  <c r="D3" i="7"/>
  <c r="D3" i="6"/>
  <c r="D3" i="5"/>
  <c r="D3" i="4"/>
  <c r="D3" i="3"/>
  <c r="C21" i="1" a="1"/>
  <c r="B21" i="1"/>
  <c r="D159" i="2" a="1"/>
  <c r="D127" i="2" a="1"/>
  <c r="C77" i="2"/>
  <c r="C10" i="1" a="1"/>
  <c r="C154" i="2"/>
  <c r="C122" i="2"/>
  <c r="D76" i="2" a="1"/>
  <c r="C151" i="2"/>
  <c r="C119" i="2"/>
  <c r="C87" i="2"/>
  <c r="C55" i="2"/>
  <c r="C23" i="2"/>
  <c r="B18" i="1"/>
  <c r="C84" i="2"/>
  <c r="C36" i="2"/>
  <c r="D166" i="2" a="1"/>
  <c r="D134" i="2" a="1"/>
  <c r="D102" i="2" a="1"/>
  <c r="D22" i="2" a="1"/>
  <c r="D155" i="2" a="1"/>
  <c r="D123" i="2" a="1"/>
  <c r="D91" i="2" a="1"/>
  <c r="D59" i="2" a="1"/>
  <c r="D27" i="2" a="1"/>
  <c r="C22" i="1" a="1"/>
  <c r="C91" i="2"/>
  <c r="B24" i="1"/>
  <c r="D84" i="2" a="1"/>
  <c r="C150" i="2"/>
  <c r="C118" i="2"/>
  <c r="C86" i="2"/>
  <c r="C54" i="2"/>
  <c r="C22" i="2"/>
  <c r="C51" i="2"/>
  <c r="B15" i="1"/>
  <c r="D173" i="2" a="1"/>
  <c r="D141" i="2" a="1"/>
  <c r="D109" i="2" a="1"/>
  <c r="B22" i="1"/>
  <c r="C160" i="2"/>
  <c r="C128" i="2"/>
  <c r="C96" i="2"/>
  <c r="C64" i="2"/>
  <c r="C32" i="2"/>
  <c r="C93" i="2"/>
  <c r="C45" i="2"/>
  <c r="D44" i="2" a="1"/>
  <c r="C18" i="2"/>
  <c r="B17" i="1"/>
  <c r="D176" i="2" a="1"/>
  <c r="D112" i="2" a="1"/>
  <c r="D80" i="2" a="1"/>
  <c r="D16" i="2" a="1"/>
  <c r="C43" i="2"/>
  <c r="B11" i="1"/>
  <c r="C139" i="2"/>
  <c r="D154" i="2" a="1"/>
  <c r="C56" i="2"/>
  <c r="D31" i="2" a="1"/>
  <c r="D172" i="2" a="1"/>
  <c r="D9" i="2" a="1"/>
  <c r="D62" i="2" a="1"/>
  <c r="D72" i="2" a="1"/>
  <c r="D178" i="2" a="1"/>
  <c r="C157" i="2"/>
  <c r="C125" i="2"/>
  <c r="D71" i="2" a="1"/>
  <c r="C8" i="1" a="1"/>
  <c r="D148" i="2" a="1"/>
  <c r="D116" i="2" a="1"/>
  <c r="D177" i="2" a="1"/>
  <c r="D145" i="2" a="1"/>
  <c r="D113" i="2" a="1"/>
  <c r="D81" i="2" a="1"/>
  <c r="D49" i="2" a="1"/>
  <c r="D17" i="2" a="1"/>
  <c r="B16" i="1"/>
  <c r="D78" i="2" a="1"/>
  <c r="D30" i="2" a="1"/>
  <c r="C164" i="2"/>
  <c r="C132" i="2"/>
  <c r="C100" i="2"/>
  <c r="C82" i="2"/>
  <c r="C153" i="2"/>
  <c r="C121" i="2"/>
  <c r="C89" i="2"/>
  <c r="C57" i="2"/>
  <c r="C25" i="2"/>
  <c r="C19" i="1" a="1"/>
  <c r="D85" i="2" a="1"/>
  <c r="D144" i="2" a="1"/>
  <c r="D48" i="2" a="1"/>
  <c r="D122" i="2" a="1"/>
  <c r="D108" i="2" a="1"/>
  <c r="C177" i="2"/>
  <c r="D168" i="2" a="1"/>
  <c r="D151" i="2" a="1"/>
  <c r="D119" i="2" a="1"/>
  <c r="C53" i="2"/>
  <c r="C178" i="2"/>
  <c r="C146" i="2"/>
  <c r="C114" i="2"/>
  <c r="C175" i="2"/>
  <c r="C143" i="2"/>
  <c r="C111" i="2"/>
  <c r="C79" i="2"/>
  <c r="C47" i="2"/>
  <c r="C15" i="2"/>
  <c r="B14" i="1"/>
  <c r="C68" i="2"/>
  <c r="C20" i="2"/>
  <c r="D158" i="2" a="1"/>
  <c r="D126" i="2" a="1"/>
  <c r="D94" i="2" a="1"/>
  <c r="D179" i="2" a="1"/>
  <c r="D147" i="2" a="1"/>
  <c r="D115" i="2" a="1"/>
  <c r="D83" i="2" a="1"/>
  <c r="D51" i="2" a="1"/>
  <c r="D19" i="2" a="1"/>
  <c r="C17" i="1" a="1"/>
  <c r="C67" i="2"/>
  <c r="B13" i="1"/>
  <c r="C174" i="2"/>
  <c r="C142" i="2"/>
  <c r="C110" i="2"/>
  <c r="C78" i="2"/>
  <c r="C46" i="2"/>
  <c r="C14" i="2"/>
  <c r="D37" i="2" a="1"/>
  <c r="B7" i="1"/>
  <c r="D165" i="2" a="1"/>
  <c r="D105" i="2" a="1"/>
  <c r="D40" i="2" a="1"/>
  <c r="D114" i="2" a="1"/>
  <c r="C149" i="2"/>
  <c r="C117" i="2"/>
  <c r="D175" i="2" a="1"/>
  <c r="D143" i="2" a="1"/>
  <c r="D111" i="2" a="1"/>
  <c r="D15" i="2" a="1"/>
  <c r="C170" i="2"/>
  <c r="C138" i="2"/>
  <c r="C106" i="2"/>
  <c r="C167" i="2"/>
  <c r="C135" i="2"/>
  <c r="C103" i="2"/>
  <c r="C71" i="2"/>
  <c r="C39" i="2"/>
  <c r="C7" i="2"/>
  <c r="B10" i="1"/>
  <c r="C60" i="2"/>
  <c r="C12" i="2"/>
  <c r="D150" i="2" a="1"/>
  <c r="D118" i="2" a="1"/>
  <c r="D70" i="2" a="1"/>
  <c r="D171" i="2" a="1"/>
  <c r="D139" i="2" a="1"/>
  <c r="D107" i="2" a="1"/>
  <c r="D75" i="2" a="1"/>
  <c r="D43" i="2" a="1"/>
  <c r="D11" i="2" a="1"/>
  <c r="C13" i="1" a="1"/>
  <c r="D53" i="2" a="1"/>
  <c r="C29" i="2"/>
  <c r="C166" i="2"/>
  <c r="C134" i="2"/>
  <c r="C102" i="2"/>
  <c r="C70" i="2"/>
  <c r="C38" i="2"/>
  <c r="C99" i="2"/>
  <c r="D21" i="2" a="1"/>
  <c r="C20" i="1" a="1"/>
  <c r="D157" i="2" a="1"/>
  <c r="D125" i="2" a="1"/>
  <c r="C75" i="2"/>
  <c r="C176" i="2"/>
  <c r="C144" i="2"/>
  <c r="C112" i="2"/>
  <c r="C80" i="2"/>
  <c r="C48" i="2"/>
  <c r="C16" i="2"/>
  <c r="C69" i="2"/>
  <c r="C13" i="2"/>
  <c r="C42" i="2"/>
  <c r="D170" i="2" a="1"/>
  <c r="D74" i="2" a="1"/>
  <c r="D42" i="2" a="1"/>
  <c r="C23" i="1" a="1"/>
  <c r="C34" i="2"/>
  <c r="C172" i="2"/>
  <c r="C161" i="2"/>
  <c r="C97" i="2"/>
  <c r="C24" i="1" a="1"/>
  <c r="C18" i="1" a="1"/>
  <c r="D152" i="2" a="1"/>
  <c r="C147" i="2"/>
  <c r="D162" i="2" a="1"/>
  <c r="C10" i="2"/>
  <c r="C171" i="2"/>
  <c r="C107" i="2"/>
  <c r="C25" i="1" a="1"/>
  <c r="D58" i="2" a="1"/>
  <c r="D20" i="2" a="1"/>
  <c r="D101" i="2" a="1"/>
  <c r="D47" i="2" a="1"/>
  <c r="D137" i="2" a="1"/>
  <c r="D14" i="2" a="1"/>
  <c r="C113" i="2"/>
  <c r="C15" i="1" a="1"/>
  <c r="D104" i="2" a="1"/>
  <c r="D50" i="2" a="1"/>
  <c r="C21" i="2"/>
  <c r="C26" i="2"/>
  <c r="C173" i="2"/>
  <c r="C141" i="2"/>
  <c r="C109" i="2"/>
  <c r="C16" i="1" a="1"/>
  <c r="D164" i="2" a="1"/>
  <c r="D132" i="2" a="1"/>
  <c r="D100" i="2" a="1"/>
  <c r="D161" i="2" a="1"/>
  <c r="D129" i="2" a="1"/>
  <c r="D97" i="2" a="1"/>
  <c r="D65" i="2" a="1"/>
  <c r="D33" i="2" a="1"/>
  <c r="B25" i="1"/>
  <c r="B8" i="1"/>
  <c r="D54" i="2" a="1"/>
  <c r="C90" i="2"/>
  <c r="C148" i="2"/>
  <c r="C116" i="2"/>
  <c r="C52" i="2"/>
  <c r="C169" i="2"/>
  <c r="C137" i="2"/>
  <c r="C105" i="2"/>
  <c r="C73" i="2"/>
  <c r="C41" i="2"/>
  <c r="C9" i="2"/>
  <c r="C11" i="1" a="1"/>
  <c r="D45" i="2" a="1"/>
  <c r="D23" i="2" a="1"/>
  <c r="D160" i="2" a="1"/>
  <c r="D128" i="2" a="1"/>
  <c r="D96" i="2" a="1"/>
  <c r="D64" i="2" a="1"/>
  <c r="D32" i="2" a="1"/>
  <c r="D93" i="2" a="1"/>
  <c r="C11" i="2"/>
  <c r="C66" i="2"/>
  <c r="C155" i="2"/>
  <c r="C123" i="2"/>
  <c r="D69" i="2" a="1"/>
  <c r="D138" i="2" a="1"/>
  <c r="D106" i="2" a="1"/>
  <c r="D10" i="2" a="1"/>
  <c r="D63" i="2" a="1"/>
  <c r="C108" i="2"/>
  <c r="C65" i="2"/>
  <c r="C7" i="1" a="1"/>
  <c r="D120" i="2" a="1"/>
  <c r="B19" i="1"/>
  <c r="C179" i="2"/>
  <c r="C19" i="2"/>
  <c r="D130" i="2" a="1"/>
  <c r="C101" i="2"/>
  <c r="D68" i="2" a="1"/>
  <c r="D26" i="2" a="1"/>
  <c r="D87" i="2" a="1"/>
  <c r="C152" i="2"/>
  <c r="C88" i="2"/>
  <c r="C85" i="2"/>
  <c r="D36" i="2" a="1"/>
  <c r="D140" i="2" a="1"/>
  <c r="D41" i="2" a="1"/>
  <c r="C156" i="2"/>
  <c r="C145" i="2"/>
  <c r="C49" i="2"/>
  <c r="B9" i="1"/>
  <c r="D8" i="2" a="1"/>
  <c r="D39" i="2" a="1"/>
  <c r="C83" i="2"/>
  <c r="D82" i="2" a="1"/>
  <c r="D28" i="2" a="1"/>
  <c r="D167" i="2" a="1"/>
  <c r="D135" i="2" a="1"/>
  <c r="D103" i="2" a="1"/>
  <c r="C14" i="1" a="1"/>
  <c r="C162" i="2"/>
  <c r="C130" i="2"/>
  <c r="C98" i="2"/>
  <c r="C159" i="2"/>
  <c r="C127" i="2"/>
  <c r="C95" i="2"/>
  <c r="C63" i="2"/>
  <c r="C31" i="2"/>
  <c r="B23" i="1"/>
  <c r="C92" i="2"/>
  <c r="C44" i="2"/>
  <c r="D174" i="2" a="1"/>
  <c r="D142" i="2" a="1"/>
  <c r="D110" i="2" a="1"/>
  <c r="D46" i="2" a="1"/>
  <c r="D163" i="2" a="1"/>
  <c r="D131" i="2" a="1"/>
  <c r="D99" i="2" a="1"/>
  <c r="D67" i="2" a="1"/>
  <c r="D35" i="2" a="1"/>
  <c r="C26" i="1" a="1"/>
  <c r="C9" i="1" a="1"/>
  <c r="D29" i="2" a="1"/>
  <c r="D7" i="2" a="1"/>
  <c r="C158" i="2"/>
  <c r="C126" i="2"/>
  <c r="C94" i="2"/>
  <c r="C62" i="2"/>
  <c r="C30" i="2"/>
  <c r="D77" i="2" a="1"/>
  <c r="B26" i="1"/>
  <c r="D60" i="2" a="1"/>
  <c r="D149" i="2" a="1"/>
  <c r="D117" i="2" a="1"/>
  <c r="C35" i="2"/>
  <c r="C168" i="2"/>
  <c r="C136" i="2"/>
  <c r="C104" i="2"/>
  <c r="C72" i="2"/>
  <c r="C40" i="2"/>
  <c r="C8" i="2"/>
  <c r="C61" i="2"/>
  <c r="C74" i="2"/>
  <c r="D12" i="2" a="1"/>
  <c r="D25" i="2" a="1"/>
  <c r="D86" i="2" a="1"/>
  <c r="C140" i="2"/>
  <c r="C28" i="2"/>
  <c r="C129" i="2"/>
  <c r="C33" i="2"/>
  <c r="D13" i="2" a="1"/>
  <c r="D56" i="2" a="1"/>
  <c r="D24" i="2" a="1"/>
  <c r="D61" i="2" a="1"/>
  <c r="C115" i="2"/>
  <c r="D98" i="2" a="1"/>
  <c r="D34" i="2" a="1"/>
  <c r="D55" i="2" a="1"/>
  <c r="D90" i="2" a="1"/>
  <c r="D133" i="2" a="1"/>
  <c r="D169" i="2" a="1"/>
  <c r="B12" i="1"/>
  <c r="C124" i="2"/>
  <c r="C81" i="2"/>
  <c r="C17" i="2"/>
  <c r="D136" i="2" a="1"/>
  <c r="D18" i="2" a="1"/>
  <c r="D79" i="2" a="1"/>
  <c r="C165" i="2"/>
  <c r="C133" i="2"/>
  <c r="D95" i="2" a="1"/>
  <c r="C12" i="1" a="1"/>
  <c r="D156" i="2" a="1"/>
  <c r="D124" i="2" a="1"/>
  <c r="D92" i="2" a="1"/>
  <c r="D153" i="2" a="1"/>
  <c r="D121" i="2" a="1"/>
  <c r="D89" i="2" a="1"/>
  <c r="D57" i="2" a="1"/>
  <c r="B20" i="1"/>
  <c r="D38" i="2" a="1"/>
  <c r="D88" i="2" a="1"/>
  <c r="D66" i="2" a="1"/>
  <c r="C37" i="2"/>
  <c r="C50" i="2"/>
  <c r="C58" i="2"/>
  <c r="C120" i="2"/>
  <c r="C24" i="2"/>
  <c r="D52" i="2" a="1"/>
  <c r="D73" i="2" a="1"/>
  <c r="C76" i="2"/>
  <c r="C59" i="2"/>
  <c r="C27" i="2"/>
  <c r="C163" i="2"/>
  <c r="C131" i="2"/>
  <c r="D146" i="2" a="1"/>
  <c r="C21" i="1" l="1"/>
  <c r="D21" i="1" s="1"/>
  <c r="D52" i="2"/>
  <c r="D12" i="2"/>
  <c r="D28" i="2"/>
  <c r="D36" i="2"/>
  <c r="D20" i="2"/>
  <c r="D44" i="2"/>
  <c r="D68" i="2"/>
  <c r="C23" i="1"/>
  <c r="D23" i="1" s="1"/>
  <c r="D31" i="2"/>
  <c r="D55" i="2"/>
  <c r="D63" i="2"/>
  <c r="D79" i="2"/>
  <c r="D87" i="2"/>
  <c r="D10" i="2"/>
  <c r="D18" i="2"/>
  <c r="D26" i="2"/>
  <c r="D34" i="2"/>
  <c r="D42" i="2"/>
  <c r="D50" i="2"/>
  <c r="D58" i="2"/>
  <c r="D66" i="2"/>
  <c r="D74" i="2"/>
  <c r="D82" i="2"/>
  <c r="D90" i="2"/>
  <c r="D98" i="2"/>
  <c r="D106" i="2"/>
  <c r="D114" i="2"/>
  <c r="D122" i="2"/>
  <c r="D130" i="2"/>
  <c r="D138" i="2"/>
  <c r="D146" i="2"/>
  <c r="D154" i="2"/>
  <c r="D162" i="2"/>
  <c r="D170" i="2"/>
  <c r="D178" i="2"/>
  <c r="C25" i="1"/>
  <c r="D25" i="1" s="1"/>
  <c r="D69" i="2"/>
  <c r="D101" i="2"/>
  <c r="D109" i="2"/>
  <c r="D117" i="2"/>
  <c r="D125" i="2"/>
  <c r="D133" i="2"/>
  <c r="D141" i="2"/>
  <c r="D149" i="2"/>
  <c r="D157" i="2"/>
  <c r="D165" i="2"/>
  <c r="D173" i="2"/>
  <c r="D60" i="2"/>
  <c r="C20" i="1"/>
  <c r="D20" i="1" s="1"/>
  <c r="D39" i="2"/>
  <c r="D21" i="2"/>
  <c r="D37" i="2"/>
  <c r="D61" i="2"/>
  <c r="D77" i="2"/>
  <c r="D93" i="2"/>
  <c r="D8" i="2"/>
  <c r="D16" i="2"/>
  <c r="D24" i="2"/>
  <c r="D32" i="2"/>
  <c r="D40" i="2"/>
  <c r="D48" i="2"/>
  <c r="D56" i="2"/>
  <c r="D64" i="2"/>
  <c r="D72" i="2"/>
  <c r="D80" i="2"/>
  <c r="D88" i="2"/>
  <c r="D96" i="2"/>
  <c r="D104" i="2"/>
  <c r="D112" i="2"/>
  <c r="D120" i="2"/>
  <c r="D128" i="2"/>
  <c r="D136" i="2"/>
  <c r="D144" i="2"/>
  <c r="D152" i="2"/>
  <c r="D160" i="2"/>
  <c r="D168" i="2"/>
  <c r="D176" i="2"/>
  <c r="D84" i="2"/>
  <c r="C18" i="1"/>
  <c r="D18" i="1" s="1"/>
  <c r="D7" i="2"/>
  <c r="D23" i="2"/>
  <c r="D13" i="2"/>
  <c r="D29" i="2"/>
  <c r="D45" i="2"/>
  <c r="D53" i="2"/>
  <c r="D85" i="2"/>
  <c r="C7" i="1"/>
  <c r="C9" i="1"/>
  <c r="D9" i="1" s="1"/>
  <c r="C11" i="1"/>
  <c r="D11" i="1" s="1"/>
  <c r="C13" i="1"/>
  <c r="D13" i="1" s="1"/>
  <c r="C15" i="1"/>
  <c r="D15" i="1" s="1"/>
  <c r="C17" i="1"/>
  <c r="D17" i="1" s="1"/>
  <c r="C19" i="1"/>
  <c r="D19" i="1" s="1"/>
  <c r="C22" i="1"/>
  <c r="D22" i="1" s="1"/>
  <c r="C24" i="1"/>
  <c r="D24" i="1" s="1"/>
  <c r="C26" i="1"/>
  <c r="D26" i="1" s="1"/>
  <c r="D11" i="2"/>
  <c r="D19" i="2"/>
  <c r="D27" i="2"/>
  <c r="D35" i="2"/>
  <c r="D43" i="2"/>
  <c r="D51" i="2"/>
  <c r="D59" i="2"/>
  <c r="D67" i="2"/>
  <c r="D75" i="2"/>
  <c r="D83" i="2"/>
  <c r="D91" i="2"/>
  <c r="D99" i="2"/>
  <c r="D107" i="2"/>
  <c r="D115" i="2"/>
  <c r="D123" i="2"/>
  <c r="D131" i="2"/>
  <c r="D139" i="2"/>
  <c r="D147" i="2"/>
  <c r="D155" i="2"/>
  <c r="D163" i="2"/>
  <c r="D171" i="2"/>
  <c r="D179" i="2"/>
  <c r="D22" i="2"/>
  <c r="D46" i="2"/>
  <c r="D70" i="2"/>
  <c r="D94" i="2"/>
  <c r="D102" i="2"/>
  <c r="D110" i="2"/>
  <c r="D118" i="2"/>
  <c r="D126" i="2"/>
  <c r="D134" i="2"/>
  <c r="D142" i="2"/>
  <c r="D150" i="2"/>
  <c r="D158" i="2"/>
  <c r="D166" i="2"/>
  <c r="D174" i="2"/>
  <c r="D14" i="2"/>
  <c r="D30" i="2"/>
  <c r="D38" i="2"/>
  <c r="D54" i="2"/>
  <c r="D62" i="2"/>
  <c r="D78" i="2"/>
  <c r="D86" i="2"/>
  <c r="D9" i="2"/>
  <c r="D17" i="2"/>
  <c r="D25" i="2"/>
  <c r="D33" i="2"/>
  <c r="D41" i="2"/>
  <c r="D49" i="2"/>
  <c r="D57" i="2"/>
  <c r="D65" i="2"/>
  <c r="D73" i="2"/>
  <c r="D81" i="2"/>
  <c r="D89" i="2"/>
  <c r="D97" i="2"/>
  <c r="D105" i="2"/>
  <c r="D113" i="2"/>
  <c r="D121" i="2"/>
  <c r="D129" i="2"/>
  <c r="D137" i="2"/>
  <c r="D145" i="2"/>
  <c r="D153" i="2"/>
  <c r="D161" i="2"/>
  <c r="D169" i="2"/>
  <c r="D177" i="2"/>
  <c r="D76" i="2"/>
  <c r="D92" i="2"/>
  <c r="D100" i="2"/>
  <c r="D108" i="2"/>
  <c r="D116" i="2"/>
  <c r="D124" i="2"/>
  <c r="D132" i="2"/>
  <c r="D140" i="2"/>
  <c r="D148" i="2"/>
  <c r="D156" i="2"/>
  <c r="D164" i="2"/>
  <c r="D172" i="2"/>
  <c r="C8" i="1"/>
  <c r="D8" i="1" s="1"/>
  <c r="C10" i="1"/>
  <c r="D10" i="1" s="1"/>
  <c r="C12" i="1"/>
  <c r="D12" i="1" s="1"/>
  <c r="C14" i="1"/>
  <c r="D14" i="1" s="1"/>
  <c r="C16" i="1"/>
  <c r="D16" i="1" s="1"/>
  <c r="D15" i="2"/>
  <c r="D47" i="2"/>
  <c r="D71" i="2"/>
  <c r="D95" i="2"/>
  <c r="D103" i="2"/>
  <c r="D111" i="2"/>
  <c r="D119" i="2"/>
  <c r="D127" i="2"/>
  <c r="D135" i="2"/>
  <c r="D143" i="2"/>
  <c r="D151" i="2"/>
  <c r="D159" i="2"/>
  <c r="D167" i="2"/>
  <c r="D175" i="2"/>
  <c r="D7" i="1" l="1"/>
  <c r="D3" i="1"/>
</calcChain>
</file>

<file path=xl/sharedStrings.xml><?xml version="1.0" encoding="utf-8"?>
<sst xmlns="http://schemas.openxmlformats.org/spreadsheetml/2006/main" count="470" uniqueCount="213">
  <si>
    <t>REPORT DATE:</t>
  </si>
  <si>
    <t>MONTHLY TOTAL:</t>
  </si>
  <si>
    <t xml:space="preserve">CLUB NAME
</t>
  </si>
  <si>
    <t>LAST 7 DAYS</t>
  </si>
  <si>
    <t>MONTH TO DATE</t>
  </si>
  <si>
    <t>YEAR TO DATE</t>
  </si>
  <si>
    <t xml:space="preserve">اسم النادي
</t>
  </si>
  <si>
    <t>آخر 7 أيام</t>
  </si>
  <si>
    <t>منذ بداية الشهر حتى اليوم</t>
  </si>
  <si>
    <t>منذ بداية السنة حتى اليوم</t>
  </si>
  <si>
    <t>RUH - Al Malaz</t>
  </si>
  <si>
    <t>RUH - Al Sahafa</t>
  </si>
  <si>
    <t>RUH - Al Aarid</t>
  </si>
  <si>
    <t>RUH - Al Fayha</t>
  </si>
  <si>
    <t>RUH - Al Uraija</t>
  </si>
  <si>
    <t>RUH - Badr</t>
  </si>
  <si>
    <t>RUH - Al Badia</t>
  </si>
  <si>
    <t>JED - Al Basateen</t>
  </si>
  <si>
    <t>JED - Al Faisaliyah</t>
  </si>
  <si>
    <t>JED - Al Naeem</t>
  </si>
  <si>
    <t>JED - Obhor</t>
  </si>
  <si>
    <t>DMM - Al Faisaliyah</t>
  </si>
  <si>
    <t>DMM - Al Jalawiah</t>
  </si>
  <si>
    <t>DMM - Al Nada</t>
  </si>
  <si>
    <t>ALQ - Buraidah</t>
  </si>
  <si>
    <t>ALQ - Unaizah</t>
  </si>
  <si>
    <t>Al Ahsaa</t>
  </si>
  <si>
    <t>AlUla</t>
  </si>
  <si>
    <t>Tabuk</t>
  </si>
  <si>
    <t>TRAINER NAME</t>
  </si>
  <si>
    <t>اسم المدرّب</t>
  </si>
  <si>
    <t>Abir Salloum</t>
  </si>
  <si>
    <t>Faemeh Al Seraji</t>
  </si>
  <si>
    <t>Ikram Gueddes</t>
  </si>
  <si>
    <t>Latoya Fantisi</t>
  </si>
  <si>
    <t>Mariam Jahin</t>
  </si>
  <si>
    <t>Moroj Samir Abdel Hamid</t>
  </si>
  <si>
    <t>Nadine Ghaleb</t>
  </si>
  <si>
    <t>Sarah Shaabane</t>
  </si>
  <si>
    <t>Loel Du Bruyn</t>
  </si>
  <si>
    <t>Taghrid Khaled</t>
  </si>
  <si>
    <t>Shayma Hanashi</t>
  </si>
  <si>
    <t>Nwabisa Liwane</t>
  </si>
  <si>
    <t>Areej Hajj Abdallah</t>
  </si>
  <si>
    <t>Hadir Nasr Mohamed</t>
  </si>
  <si>
    <t>Taif Saad Alahmari</t>
  </si>
  <si>
    <t>Zouhaira Al-Omrani</t>
  </si>
  <si>
    <t>Shefa Ghazi</t>
  </si>
  <si>
    <t>Manel Manasria</t>
  </si>
  <si>
    <t>Abeer Al Saloum</t>
  </si>
  <si>
    <t>Rania Manita</t>
  </si>
  <si>
    <t>Kholoud Khaled</t>
  </si>
  <si>
    <t>Guesmi Kholoud</t>
  </si>
  <si>
    <t>Nashwa Attia Elbendary</t>
  </si>
  <si>
    <t>Sirine Mohamed Hamdi</t>
  </si>
  <si>
    <t>Maram Tlili</t>
  </si>
  <si>
    <t>Sara Said</t>
  </si>
  <si>
    <t>Malek Belguith</t>
  </si>
  <si>
    <t>Safaa Karim</t>
  </si>
  <si>
    <t>Amal Al Chiboub</t>
  </si>
  <si>
    <t>Hidaya Moubarak</t>
  </si>
  <si>
    <t>Safa Al Saggadi</t>
  </si>
  <si>
    <t>Warda Al Hajji</t>
  </si>
  <si>
    <t>Maryam Al-Qawsari</t>
  </si>
  <si>
    <t>Fawz Jibran Al-Qahtani</t>
  </si>
  <si>
    <t>Malak Al Zahabi</t>
  </si>
  <si>
    <t>Nada Mohamed Khalifa</t>
  </si>
  <si>
    <t>Chaza Ben Miled</t>
  </si>
  <si>
    <t>Shaden Omar</t>
  </si>
  <si>
    <t>Walaa Kamel</t>
  </si>
  <si>
    <t>Hind Al Ahmad</t>
  </si>
  <si>
    <t>Asmaa Adel</t>
  </si>
  <si>
    <t>Maram Al Sousou</t>
  </si>
  <si>
    <t>Asmaa Ahmed</t>
  </si>
  <si>
    <t>Ebtihal Al Kathiri</t>
  </si>
  <si>
    <t>Feryel Ben Nacer</t>
  </si>
  <si>
    <t>Al Anoud Saleh Al-Qablan</t>
  </si>
  <si>
    <t>Khawla Saif</t>
  </si>
  <si>
    <t>Basnat Abdel Qawi</t>
  </si>
  <si>
    <t>Sanae Hassel</t>
  </si>
  <si>
    <t>Khouloud Wanna</t>
  </si>
  <si>
    <t>Hadiya Al-Mohammad</t>
  </si>
  <si>
    <t>Aya Al-Jallouli</t>
  </si>
  <si>
    <t>Rania Bahloul</t>
  </si>
  <si>
    <t>Shorouq Osama Metwaly Ibrahim</t>
  </si>
  <si>
    <t>Arwa Ahmed Baflah</t>
  </si>
  <si>
    <t>Hadeer Ibrahim Gamal</t>
  </si>
  <si>
    <t>Rihem Hossam</t>
  </si>
  <si>
    <t>Sarah Ghoneim</t>
  </si>
  <si>
    <t>Al-Hanouf Al-Khurayan</t>
  </si>
  <si>
    <t>Amal Al-Bjeoui</t>
  </si>
  <si>
    <t>Seham Hussein</t>
  </si>
  <si>
    <t>Maysaa Mowafaq Al-Aqram</t>
  </si>
  <si>
    <t>Takwa Abdelly</t>
  </si>
  <si>
    <t>Hasna AlKayyal</t>
  </si>
  <si>
    <t>Souha Al-Bajawi</t>
  </si>
  <si>
    <t>Hanin Barrani</t>
  </si>
  <si>
    <t>Safa Radif</t>
  </si>
  <si>
    <t>Maram Farhawi</t>
  </si>
  <si>
    <t>Rajae Al-Jabouji</t>
  </si>
  <si>
    <t>Ghofran Bint Kamal Aouni</t>
  </si>
  <si>
    <t>Nermin Hadi Debaya</t>
  </si>
  <si>
    <t>Nawres Khordeni</t>
  </si>
  <si>
    <t>Raghad Al Bir Qaddar</t>
  </si>
  <si>
    <t>Iman Kouisseh</t>
  </si>
  <si>
    <t>Salwa Mlaiki</t>
  </si>
  <si>
    <t>Sabrine Al Amine</t>
  </si>
  <si>
    <t>Mouna Farhat</t>
  </si>
  <si>
    <t>Moutidis Ofantisi</t>
  </si>
  <si>
    <t>Shurooq Amer</t>
  </si>
  <si>
    <t>Reyouf Saad</t>
  </si>
  <si>
    <t>Ranim Brahmi</t>
  </si>
  <si>
    <t>Maha Fayez Al Ahmari</t>
  </si>
  <si>
    <t>Salma Jadli</t>
  </si>
  <si>
    <t>Hala Saied</t>
  </si>
  <si>
    <t>Kholod Khaled</t>
  </si>
  <si>
    <t>Wiem Dridi</t>
  </si>
  <si>
    <t>Shourooq Al Jundi</t>
  </si>
  <si>
    <t>Ines Rezgui</t>
  </si>
  <si>
    <t>Hajer Jamal Al-Deen Khalifa Ali</t>
  </si>
  <si>
    <t>Mariam Baomar</t>
  </si>
  <si>
    <t>Chourouk Sherif</t>
  </si>
  <si>
    <t>Sara Mahdi</t>
  </si>
  <si>
    <t>Siwar Al Habib</t>
  </si>
  <si>
    <t>Shayma Abbes</t>
  </si>
  <si>
    <t>Nahla Al Hajri</t>
  </si>
  <si>
    <t>Afraa Almasri</t>
  </si>
  <si>
    <t>Lamia Al Amer</t>
  </si>
  <si>
    <t>Diaa Sobhi</t>
  </si>
  <si>
    <t>Maysem Mohamed</t>
  </si>
  <si>
    <t>Asayel Sultan</t>
  </si>
  <si>
    <t>Nadine Shawky</t>
  </si>
  <si>
    <t>Mayssa Bin Mohamad Nasser Mejri</t>
  </si>
  <si>
    <t>Rasha Hamid</t>
  </si>
  <si>
    <t>Amira Omar</t>
  </si>
  <si>
    <t>Soulaima Hassan</t>
  </si>
  <si>
    <t>Cyrine Ali</t>
  </si>
  <si>
    <t>Sirine Jawadi</t>
  </si>
  <si>
    <t>Moulouk Al Lawi</t>
  </si>
  <si>
    <t>Nourhan Hosny</t>
  </si>
  <si>
    <t>Al Bandari Al Harbi</t>
  </si>
  <si>
    <t>Mirna Mostafa</t>
  </si>
  <si>
    <t>Mariem Laamiri</t>
  </si>
  <si>
    <t>Rahma Qays</t>
  </si>
  <si>
    <t>Asmaa Mahmoud</t>
  </si>
  <si>
    <t>Basma Baza</t>
  </si>
  <si>
    <t>Mennatllah Saad</t>
  </si>
  <si>
    <t>Wyssal Ben Dhieb</t>
  </si>
  <si>
    <t>Asmaa Ashraf</t>
  </si>
  <si>
    <t>Chaima Gharsalli</t>
  </si>
  <si>
    <t>Fatima Abdallah</t>
  </si>
  <si>
    <t>Emna Ben Chalbia</t>
  </si>
  <si>
    <t>Hebatallah Ali</t>
  </si>
  <si>
    <t>Aya Maayoufi</t>
  </si>
  <si>
    <t>Amal Al-Fahat Ghazi Al-Ruwaili</t>
  </si>
  <si>
    <t>Chaima Boutita</t>
  </si>
  <si>
    <t>Asmaa Shehata</t>
  </si>
  <si>
    <t>Sarah Rasheeq</t>
  </si>
  <si>
    <t>Nawal Akermi</t>
  </si>
  <si>
    <t>Rawiya Alarousi Mabrouk</t>
  </si>
  <si>
    <t>Anfal Nasser Alhusseini</t>
  </si>
  <si>
    <t>Nourhan Ehab Amarah</t>
  </si>
  <si>
    <t>Nouran Emad Jad</t>
  </si>
  <si>
    <t>Lulu Alzaaj</t>
  </si>
  <si>
    <t>Malath Suleiman Alshamasi</t>
  </si>
  <si>
    <t>Chayma Hannachi</t>
  </si>
  <si>
    <t>Mai Mosleh</t>
  </si>
  <si>
    <t>Ines Souissi</t>
  </si>
  <si>
    <t>Anwar Ben Rhayem</t>
  </si>
  <si>
    <t>Raja Reeba</t>
  </si>
  <si>
    <t>Aya Mahmoud Abed Al-Wanis</t>
  </si>
  <si>
    <t>Eilaf Mohamed Al-Fayizi</t>
  </si>
  <si>
    <t>Rana Mohammad Hassan Aaref</t>
  </si>
  <si>
    <t>Roua Al-Hashemi Bin Naeimah</t>
  </si>
  <si>
    <t>Yosra Al-Mzoughi</t>
  </si>
  <si>
    <t>Esraa Labib Noomani</t>
  </si>
  <si>
    <t>Asmaa Aalaa Al-Din</t>
  </si>
  <si>
    <t>Samar Lajnef</t>
  </si>
  <si>
    <t>Rim Chabi</t>
  </si>
  <si>
    <t>Iman Aboushosha</t>
  </si>
  <si>
    <t>Marwa Almudyni</t>
  </si>
  <si>
    <t>Afnan Khalid</t>
  </si>
  <si>
    <t>Mona Maatouq</t>
  </si>
  <si>
    <t>Sohaila Refaat</t>
  </si>
  <si>
    <t>Samar Mohammed</t>
  </si>
  <si>
    <t>Esraa Idris</t>
  </si>
  <si>
    <t>Omaymah Youssef</t>
  </si>
  <si>
    <t>Habiba Alghareeb</t>
  </si>
  <si>
    <t>Amina Mohammad Mosbeh</t>
  </si>
  <si>
    <t>Nour Toumi</t>
  </si>
  <si>
    <t>Khouloud Suibgui</t>
  </si>
  <si>
    <t>Rehab Naji Al-Nasri</t>
  </si>
  <si>
    <t>Bayan Al-Anzi</t>
  </si>
  <si>
    <t>Amal Saleh</t>
  </si>
  <si>
    <t>Walaa Ahmed</t>
  </si>
  <si>
    <t>Rasha Abu Hassan</t>
  </si>
  <si>
    <t>Nada Ahmed Mohamed</t>
  </si>
  <si>
    <t>Ishraf Mohamed Al-Zaghdoudi</t>
  </si>
  <si>
    <t>Sahar Mrad Berguiga</t>
  </si>
  <si>
    <t>Marwa Jendoubi</t>
  </si>
  <si>
    <t>Bassant Majed Eid</t>
  </si>
  <si>
    <t>Amal Saad</t>
  </si>
  <si>
    <t>Hanane Bankroum</t>
  </si>
  <si>
    <t>NUMBER OF PROGRAMS:</t>
  </si>
  <si>
    <t xml:space="preserve">CLIENT ID
</t>
  </si>
  <si>
    <t xml:space="preserve">CLIENT NAME
</t>
  </si>
  <si>
    <t>DATE OF TEST</t>
  </si>
  <si>
    <t>DATE OF PROGRAM DISPATCH</t>
  </si>
  <si>
    <t xml:space="preserve">رقم العميل
</t>
  </si>
  <si>
    <t xml:space="preserve">اسم العميل
</t>
  </si>
  <si>
    <t>تاريخ الفحص</t>
  </si>
  <si>
    <t>تاريخ ارسال الجدول</t>
  </si>
  <si>
    <t>ALQ - Al Rayyan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</si>
</sst>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Source Sans Pro"/>
      <family val="2"/>
    </font>
    <font>
      <sz val="72"/>
      <color theme="1"/>
      <name val="Source Sans Pro Black"/>
      <family val="2"/>
    </font>
    <font>
      <sz val="24"/>
      <color theme="0"/>
      <name val="Source Sans Pro"/>
      <family val="2"/>
    </font>
    <font>
      <sz val="22"/>
      <color theme="1"/>
      <name val="Source Sans Pro SemiBold"/>
      <family val="2"/>
    </font>
    <font>
      <sz val="28"/>
      <color theme="0"/>
      <name val="Source Sans Pro Black"/>
      <family val="2"/>
    </font>
    <font>
      <sz val="28"/>
      <color theme="0"/>
      <name val="Tahoma"/>
      <family val="2"/>
    </font>
    <font>
      <sz val="20"/>
      <color theme="1"/>
      <name val="Tahoma"/>
      <family val="2"/>
    </font>
    <font>
      <sz val="20"/>
      <color theme="1"/>
      <name val="Source Sans Pro"/>
      <family val="2"/>
    </font>
    <font>
      <sz val="20"/>
      <color theme="1"/>
      <name val="Calibri"/>
      <family val="2"/>
      <scheme val="minor"/>
    </font>
    <font>
      <sz val="20"/>
      <name val="Source Sans Pro"/>
      <family val="2"/>
    </font>
    <font>
      <sz val="12"/>
      <color theme="1"/>
      <name val="Tahoma"/>
      <family val="2"/>
    </font>
    <font>
      <sz val="10"/>
      <color theme="1"/>
      <name val="Source Sans Pro"/>
      <family val="2"/>
    </font>
    <font>
      <sz val="20"/>
      <color rgb="FF000000"/>
      <name val="Tahoma"/>
      <family val="2"/>
    </font>
    <font>
      <sz val="25"/>
      <color theme="1"/>
      <name val="Source Sans Pro"/>
      <family val="2"/>
    </font>
    <font>
      <sz val="22"/>
      <color theme="1"/>
      <name val="Source Sans Pro Regular"/>
    </font>
    <font>
      <sz val="20"/>
      <name val="Tahoma"/>
      <family val="2"/>
    </font>
    <font>
      <sz val="11"/>
      <color theme="1"/>
      <name val="Tahoma"/>
      <family val="2"/>
    </font>
    <font>
      <sz val="26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2BB46"/>
        <bgColor indexed="64"/>
      </patternFill>
    </fill>
    <fill>
      <patternFill patternType="solid">
        <fgColor rgb="FF4B86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4B858F"/>
        <bgColor indexed="64"/>
      </patternFill>
    </fill>
    <fill>
      <patternFill patternType="solid">
        <fgColor theme="0"/>
        <bgColor rgb="FF000000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164" fontId="1" fillId="0" borderId="0" xfId="0" applyNumberFormat="1" applyFont="1"/>
    <xf numFmtId="0" fontId="3" fillId="2" borderId="0" xfId="0" applyFont="1" applyFill="1" applyAlignment="1">
      <alignment horizontal="right" vertical="center" indent="2"/>
    </xf>
    <xf numFmtId="164" fontId="3" fillId="2" borderId="0" xfId="0" applyNumberFormat="1" applyFont="1" applyFill="1" applyAlignment="1">
      <alignment horizontal="right" vertical="center" indent="2"/>
    </xf>
    <xf numFmtId="1" fontId="4" fillId="0" borderId="0" xfId="0" applyNumberFormat="1" applyFont="1" applyAlignment="1">
      <alignment horizontal="left" vertical="center" indent="1"/>
    </xf>
    <xf numFmtId="0" fontId="5" fillId="3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164" fontId="5" fillId="3" borderId="2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center"/>
    </xf>
    <xf numFmtId="0" fontId="6" fillId="3" borderId="3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164" fontId="6" fillId="3" borderId="4" xfId="0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64" fontId="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/>
    <xf numFmtId="0" fontId="1" fillId="5" borderId="0" xfId="0" applyFont="1" applyFill="1"/>
    <xf numFmtId="0" fontId="0" fillId="5" borderId="0" xfId="0" applyFill="1"/>
    <xf numFmtId="0" fontId="1" fillId="5" borderId="0" xfId="0" applyFont="1" applyFill="1" applyAlignment="1">
      <alignment horizontal="center"/>
    </xf>
    <xf numFmtId="0" fontId="7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indent="1"/>
    </xf>
    <xf numFmtId="0" fontId="7" fillId="6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left" vertical="center" indent="1"/>
    </xf>
    <xf numFmtId="0" fontId="7" fillId="6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 indent="1"/>
    </xf>
    <xf numFmtId="0" fontId="7" fillId="6" borderId="6" xfId="0" applyFont="1" applyFill="1" applyBorder="1" applyAlignment="1">
      <alignment horizontal="left" vertical="center" wrapText="1" indent="1"/>
    </xf>
    <xf numFmtId="0" fontId="7" fillId="6" borderId="6" xfId="0" applyFont="1" applyFill="1" applyBorder="1" applyAlignment="1">
      <alignment horizontal="center" vertical="center" wrapText="1"/>
    </xf>
    <xf numFmtId="0" fontId="12" fillId="0" borderId="0" xfId="0" applyFont="1"/>
    <xf numFmtId="17" fontId="4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left" vertical="center" wrapText="1" inden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 indent="1"/>
    </xf>
    <xf numFmtId="0" fontId="7" fillId="6" borderId="9" xfId="0" applyFont="1" applyFill="1" applyBorder="1" applyAlignment="1">
      <alignment horizontal="left" vertical="center" indent="1"/>
    </xf>
    <xf numFmtId="0" fontId="7" fillId="6" borderId="13" xfId="0" applyFont="1" applyFill="1" applyBorder="1" applyAlignment="1">
      <alignment horizontal="left" vertical="center" indent="1"/>
    </xf>
    <xf numFmtId="0" fontId="7" fillId="6" borderId="13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left" vertical="center" indent="1"/>
    </xf>
    <xf numFmtId="0" fontId="7" fillId="6" borderId="15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left" vertical="center" wrapText="1" indent="1"/>
    </xf>
    <xf numFmtId="0" fontId="5" fillId="8" borderId="10" xfId="0" applyFont="1" applyFill="1" applyBorder="1" applyAlignment="1">
      <alignment horizontal="left" vertical="top" wrapText="1"/>
    </xf>
    <xf numFmtId="0" fontId="5" fillId="8" borderId="6" xfId="0" applyFont="1" applyFill="1" applyBorder="1" applyAlignment="1">
      <alignment horizontal="left" vertical="top" wrapText="1"/>
    </xf>
    <xf numFmtId="0" fontId="6" fillId="8" borderId="3" xfId="0" applyFont="1" applyFill="1" applyBorder="1" applyAlignment="1">
      <alignment horizontal="left" vertical="top" wrapText="1"/>
    </xf>
    <xf numFmtId="0" fontId="6" fillId="8" borderId="9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/>
    </xf>
    <xf numFmtId="0" fontId="6" fillId="8" borderId="4" xfId="0" applyFont="1" applyFill="1" applyBorder="1" applyAlignment="1">
      <alignment horizontal="left" vertical="top" wrapText="1"/>
    </xf>
    <xf numFmtId="0" fontId="7" fillId="4" borderId="5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15" fontId="4" fillId="0" borderId="0" xfId="0" applyNumberFormat="1" applyFont="1" applyAlignment="1">
      <alignment horizontal="left" vertic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left" vertical="center" wrapText="1" indent="1"/>
    </xf>
    <xf numFmtId="0" fontId="7" fillId="6" borderId="10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left" vertical="center" indent="1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left" vertical="center" wrapText="1" inden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inden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left" vertical="center" wrapText="1" indent="1"/>
    </xf>
    <xf numFmtId="0" fontId="14" fillId="0" borderId="0" xfId="0" applyFont="1"/>
    <xf numFmtId="0" fontId="7" fillId="4" borderId="9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indent="1"/>
    </xf>
    <xf numFmtId="0" fontId="7" fillId="6" borderId="20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left" vertical="center" indent="1" readingOrder="1"/>
    </xf>
    <xf numFmtId="0" fontId="3" fillId="5" borderId="0" xfId="0" applyFont="1" applyFill="1" applyAlignment="1">
      <alignment horizontal="right" vertical="center" indent="2"/>
    </xf>
    <xf numFmtId="17" fontId="4" fillId="5" borderId="0" xfId="0" applyNumberFormat="1" applyFont="1" applyFill="1" applyAlignment="1">
      <alignment horizontal="left" vertical="center"/>
    </xf>
    <xf numFmtId="0" fontId="1" fillId="0" borderId="3" xfId="0" applyFont="1" applyBorder="1"/>
    <xf numFmtId="0" fontId="7" fillId="6" borderId="1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14" fontId="7" fillId="6" borderId="2" xfId="0" applyNumberFormat="1" applyFont="1" applyFill="1" applyBorder="1" applyAlignment="1">
      <alignment horizontal="left" vertical="center"/>
    </xf>
    <xf numFmtId="164" fontId="7" fillId="6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164" fontId="7" fillId="4" borderId="6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17" fillId="0" borderId="0" xfId="0" applyFont="1"/>
    <xf numFmtId="14" fontId="7" fillId="4" borderId="2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showGridLines="0" tabSelected="1" zoomScale="50" zoomScaleNormal="50" zoomScaleSheetLayoutView="30" zoomScalePageLayoutView="50" workbookViewId="0">
      <selection activeCell="A7" sqref="A7"/>
    </sheetView>
  </sheetViews>
  <sheetFormatPr baseColWidth="10" defaultColWidth="8.6640625" defaultRowHeight="15" x14ac:dyDescent="0.2"/>
  <cols>
    <col min="1" max="1" width="60" style="1" customWidth="1"/>
    <col min="2" max="2" width="64.6640625" style="1" customWidth="1"/>
    <col min="3" max="3" width="66.1640625" style="34" customWidth="1"/>
    <col min="4" max="4" width="83.5" style="34" customWidth="1"/>
    <col min="5" max="5" width="6.6640625" style="1" customWidth="1"/>
    <col min="6" max="6" width="5.5" customWidth="1"/>
    <col min="7" max="7" width="40.6640625" style="1" customWidth="1"/>
    <col min="8" max="11" width="5.5" style="1" customWidth="1"/>
    <col min="12" max="12" width="8.6640625" style="1" customWidth="1"/>
    <col min="13" max="16384" width="8.6640625" style="1"/>
  </cols>
  <sheetData>
    <row r="1" spans="1:16" ht="68" customHeight="1" x14ac:dyDescent="0.2">
      <c r="B1" s="2"/>
      <c r="C1" s="1"/>
      <c r="D1" s="1"/>
    </row>
    <row r="2" spans="1:16" ht="129" customHeight="1" x14ac:dyDescent="0.2">
      <c r="B2" s="2"/>
      <c r="C2" s="1"/>
      <c r="D2" s="1"/>
    </row>
    <row r="3" spans="1:16" ht="45" customHeight="1" x14ac:dyDescent="0.2">
      <c r="A3" s="4" t="s">
        <v>0</v>
      </c>
      <c r="B3" s="64">
        <v>46119</v>
      </c>
      <c r="C3" s="4" t="s">
        <v>1</v>
      </c>
      <c r="D3" s="89">
        <f ca="1">SUM(C7:C26)</f>
        <v>0</v>
      </c>
    </row>
    <row r="4" spans="1:16" ht="47.75" customHeight="1" x14ac:dyDescent="0.35">
      <c r="B4" s="2"/>
      <c r="C4" s="86"/>
      <c r="D4" s="1"/>
    </row>
    <row r="5" spans="1:16" ht="49.25" customHeight="1" x14ac:dyDescent="0.2">
      <c r="A5" s="53" t="s">
        <v>2</v>
      </c>
      <c r="B5" s="53" t="s">
        <v>3</v>
      </c>
      <c r="C5" s="54" t="s">
        <v>4</v>
      </c>
      <c r="D5" s="55" t="s">
        <v>5</v>
      </c>
      <c r="F5" s="10"/>
    </row>
    <row r="6" spans="1:16" ht="49.25" customHeight="1" x14ac:dyDescent="0.2">
      <c r="A6" s="51" t="s">
        <v>6</v>
      </c>
      <c r="B6" s="56" t="s">
        <v>7</v>
      </c>
      <c r="C6" s="56" t="s">
        <v>8</v>
      </c>
      <c r="D6" s="56" t="s">
        <v>9</v>
      </c>
      <c r="F6" s="10"/>
    </row>
    <row r="7" spans="1:16" s="15" customFormat="1" ht="60" customHeight="1" x14ac:dyDescent="0.2">
      <c r="A7" s="57" t="s">
        <v>10</v>
      </c>
      <c r="B7" s="37">
        <f t="shared" ref="B7:B26" ca="1" si="0">IFERROR(COUNTIFS(INDIRECT("'" &amp; $A7 &amp; "'!E:E"), "&gt;=" &amp; $B$3-7, INDIRECT("'" &amp; $A7 &amp; "'!E:E"), "&lt;=" &amp; $B$3),0)</f>
        <v>0</v>
      </c>
      <c r="C7" s="36">
        <f t="array" aca="1" ref="C7" ca="1">INDIRECT("'" &amp; A7 &amp; "'!D3")</f>
        <v>0</v>
      </c>
      <c r="D7" s="36">
        <f ca="1">C7+527</f>
        <v>527</v>
      </c>
      <c r="E7" s="16"/>
      <c r="F7" s="16"/>
      <c r="G7" s="59"/>
      <c r="H7" s="16"/>
      <c r="I7" s="16"/>
      <c r="J7" s="16"/>
      <c r="K7" s="14"/>
      <c r="L7" s="16"/>
      <c r="M7" s="16"/>
      <c r="N7" s="16"/>
      <c r="O7" s="16"/>
      <c r="P7" s="16"/>
    </row>
    <row r="8" spans="1:16" s="14" customFormat="1" ht="60" customHeight="1" x14ac:dyDescent="0.2">
      <c r="A8" s="57" t="s">
        <v>11</v>
      </c>
      <c r="B8" s="37">
        <f t="shared" ca="1" si="0"/>
        <v>0</v>
      </c>
      <c r="C8" s="36">
        <f t="array" aca="1" ref="C8" ca="1">INDIRECT("'" &amp; A8 &amp; "'!D3")</f>
        <v>0</v>
      </c>
      <c r="D8" s="36">
        <f ca="1">C8+244</f>
        <v>244</v>
      </c>
      <c r="E8" s="15"/>
      <c r="F8" s="15"/>
      <c r="G8" s="59"/>
      <c r="H8" s="15"/>
      <c r="I8" s="15"/>
      <c r="J8" s="15"/>
      <c r="K8" s="15"/>
      <c r="L8" s="15"/>
      <c r="M8" s="15"/>
      <c r="N8" s="15"/>
      <c r="O8" s="15"/>
      <c r="P8" s="15"/>
    </row>
    <row r="9" spans="1:16" s="14" customFormat="1" ht="60" customHeight="1" x14ac:dyDescent="0.2">
      <c r="A9" s="57" t="s">
        <v>12</v>
      </c>
      <c r="B9" s="37">
        <f t="shared" ca="1" si="0"/>
        <v>0</v>
      </c>
      <c r="C9" s="36">
        <f t="array" aca="1" ref="C9" ca="1">INDIRECT("'" &amp; A9 &amp; "'!D3")</f>
        <v>0</v>
      </c>
      <c r="D9" s="36">
        <f ca="1">C9+113</f>
        <v>113</v>
      </c>
      <c r="G9" s="59"/>
    </row>
    <row r="10" spans="1:16" s="14" customFormat="1" ht="60" customHeight="1" x14ac:dyDescent="0.2">
      <c r="A10" s="31" t="s">
        <v>13</v>
      </c>
      <c r="B10" s="37">
        <f t="shared" ca="1" si="0"/>
        <v>0</v>
      </c>
      <c r="C10" s="36">
        <f t="array" aca="1" ref="C10" ca="1">INDIRECT("'" &amp; A10 &amp; "'!D3")</f>
        <v>0</v>
      </c>
      <c r="D10" s="36">
        <f ca="1">C10+63</f>
        <v>63</v>
      </c>
      <c r="G10" s="59"/>
    </row>
    <row r="11" spans="1:16" ht="60" customHeight="1" x14ac:dyDescent="0.2">
      <c r="A11" s="57" t="s">
        <v>14</v>
      </c>
      <c r="B11" s="37">
        <f t="shared" ca="1" si="0"/>
        <v>0</v>
      </c>
      <c r="C11" s="36">
        <f t="array" aca="1" ref="C11" ca="1">INDIRECT("'" &amp; A11 &amp; "'!D3")</f>
        <v>0</v>
      </c>
      <c r="D11" s="36">
        <f ca="1">C11+48</f>
        <v>48</v>
      </c>
      <c r="F11" s="1"/>
      <c r="G11" s="60"/>
    </row>
    <row r="12" spans="1:16" s="14" customFormat="1" ht="60" customHeight="1" x14ac:dyDescent="0.2">
      <c r="A12" s="57" t="s">
        <v>15</v>
      </c>
      <c r="B12" s="37">
        <f t="shared" ca="1" si="0"/>
        <v>0</v>
      </c>
      <c r="C12" s="36">
        <f t="array" aca="1" ref="C12" ca="1">INDIRECT("'" &amp; A12 &amp; "'!D3")</f>
        <v>0</v>
      </c>
      <c r="D12" s="36">
        <f ca="1">C12+21</f>
        <v>21</v>
      </c>
      <c r="G12" s="59"/>
    </row>
    <row r="13" spans="1:16" s="14" customFormat="1" ht="60" customHeight="1" x14ac:dyDescent="0.2">
      <c r="A13" s="57" t="s">
        <v>16</v>
      </c>
      <c r="B13" s="37">
        <f t="shared" ca="1" si="0"/>
        <v>0</v>
      </c>
      <c r="C13" s="36">
        <f t="array" aca="1" ref="C13" ca="1">INDIRECT("'" &amp; A13 &amp; "'!D3")</f>
        <v>0</v>
      </c>
      <c r="D13" s="36">
        <f ca="1">C13+68</f>
        <v>68</v>
      </c>
      <c r="G13" s="61"/>
    </row>
    <row r="14" spans="1:16" s="15" customFormat="1" ht="60" customHeight="1" x14ac:dyDescent="0.2">
      <c r="A14" s="57" t="s">
        <v>17</v>
      </c>
      <c r="B14" s="37">
        <f t="shared" ca="1" si="0"/>
        <v>0</v>
      </c>
      <c r="C14" s="36">
        <f t="array" aca="1" ref="C14" ca="1">INDIRECT("'" &amp; A14 &amp; "'!D3")</f>
        <v>0</v>
      </c>
      <c r="D14" s="36">
        <f ca="1">C14+211</f>
        <v>211</v>
      </c>
      <c r="E14" s="16"/>
      <c r="F14" s="16"/>
      <c r="G14" s="60"/>
      <c r="H14" s="16"/>
      <c r="I14" s="16"/>
      <c r="J14" s="16"/>
      <c r="K14" s="14"/>
      <c r="L14" s="16"/>
      <c r="M14" s="16"/>
      <c r="N14" s="16"/>
      <c r="O14" s="16"/>
      <c r="P14" s="16"/>
    </row>
    <row r="15" spans="1:16" ht="60" customHeight="1" x14ac:dyDescent="0.2">
      <c r="A15" s="58" t="s">
        <v>18</v>
      </c>
      <c r="B15" s="37">
        <f t="shared" ca="1" si="0"/>
        <v>0</v>
      </c>
      <c r="C15" s="36">
        <f t="array" aca="1" ref="C15" ca="1">INDIRECT("'" &amp; A15 &amp; "'!D3")</f>
        <v>0</v>
      </c>
      <c r="D15" s="36">
        <f ca="1">C15+154</f>
        <v>154</v>
      </c>
      <c r="E15" s="17"/>
    </row>
    <row r="16" spans="1:16" ht="60" customHeight="1" x14ac:dyDescent="0.2">
      <c r="A16" s="57" t="s">
        <v>19</v>
      </c>
      <c r="B16" s="37">
        <f t="shared" ca="1" si="0"/>
        <v>0</v>
      </c>
      <c r="C16" s="36">
        <f t="array" aca="1" ref="C16" ca="1">INDIRECT("'" &amp; A16 &amp; "'!D3")</f>
        <v>0</v>
      </c>
      <c r="D16" s="36">
        <f ca="1">C16+61</f>
        <v>61</v>
      </c>
      <c r="E16" s="17"/>
    </row>
    <row r="17" spans="1:5" ht="60" customHeight="1" x14ac:dyDescent="0.2">
      <c r="A17" s="57" t="s">
        <v>20</v>
      </c>
      <c r="B17" s="37">
        <f t="shared" ca="1" si="0"/>
        <v>0</v>
      </c>
      <c r="C17" s="36">
        <f t="array" aca="1" ref="C17" ca="1">INDIRECT("'" &amp; A17 &amp; "'!D3")</f>
        <v>0</v>
      </c>
      <c r="D17" s="36">
        <f ca="1">C17+0</f>
        <v>0</v>
      </c>
      <c r="E17" s="17"/>
    </row>
    <row r="18" spans="1:5" ht="60" customHeight="1" x14ac:dyDescent="0.2">
      <c r="A18" s="31" t="s">
        <v>21</v>
      </c>
      <c r="B18" s="37">
        <f t="shared" ca="1" si="0"/>
        <v>0</v>
      </c>
      <c r="C18" s="36">
        <f t="array" aca="1" ref="C18" ca="1">INDIRECT("'" &amp; A18 &amp; "'!D3")</f>
        <v>0</v>
      </c>
      <c r="D18" s="36">
        <f ca="1">C18+86</f>
        <v>86</v>
      </c>
      <c r="E18" s="17"/>
    </row>
    <row r="19" spans="1:5" ht="60" customHeight="1" x14ac:dyDescent="0.2">
      <c r="A19" s="57" t="s">
        <v>22</v>
      </c>
      <c r="B19" s="37">
        <f t="shared" ca="1" si="0"/>
        <v>0</v>
      </c>
      <c r="C19" s="36">
        <f t="array" aca="1" ref="C19" ca="1">INDIRECT("'" &amp; A19 &amp; "'!D3")</f>
        <v>0</v>
      </c>
      <c r="D19" s="36">
        <f ca="1">C19+38</f>
        <v>38</v>
      </c>
      <c r="E19" s="17"/>
    </row>
    <row r="20" spans="1:5" ht="60" customHeight="1" x14ac:dyDescent="0.2">
      <c r="A20" s="57" t="s">
        <v>23</v>
      </c>
      <c r="B20" s="37">
        <f t="shared" ca="1" si="0"/>
        <v>0</v>
      </c>
      <c r="C20" s="36">
        <f t="array" aca="1" ref="C20" ca="1">INDIRECT("'" &amp; A20 &amp; "'!D3")</f>
        <v>0</v>
      </c>
      <c r="D20" s="36">
        <f ca="1">C20+0</f>
        <v>0</v>
      </c>
      <c r="E20" s="17"/>
    </row>
    <row r="21" spans="1:5" ht="60" customHeight="1" x14ac:dyDescent="0.2">
      <c r="A21" s="58" t="s">
        <v>212</v>
      </c>
      <c r="B21" s="37">
        <f t="shared" ca="1" si="0"/>
        <v>0</v>
      </c>
      <c r="C21" s="36">
        <f t="array" aca="1" ref="C21" ca="1">INDIRECT("'" &amp; A21 &amp; "'!D3")</f>
        <v>0</v>
      </c>
      <c r="D21" s="36">
        <f ca="1">C21+0</f>
        <v>0</v>
      </c>
      <c r="E21" s="17"/>
    </row>
    <row r="22" spans="1:5" ht="60" customHeight="1" x14ac:dyDescent="0.2">
      <c r="A22" s="58" t="s">
        <v>24</v>
      </c>
      <c r="B22" s="37">
        <f t="shared" ca="1" si="0"/>
        <v>0</v>
      </c>
      <c r="C22" s="36">
        <f t="array" aca="1" ref="C22" ca="1">INDIRECT("'" &amp; A22 &amp; "'!D3")</f>
        <v>0</v>
      </c>
      <c r="D22" s="36">
        <f ca="1">C22+29</f>
        <v>29</v>
      </c>
      <c r="E22" s="17"/>
    </row>
    <row r="23" spans="1:5" ht="60" customHeight="1" x14ac:dyDescent="0.2">
      <c r="A23" s="31" t="s">
        <v>25</v>
      </c>
      <c r="B23" s="37">
        <f t="shared" ca="1" si="0"/>
        <v>0</v>
      </c>
      <c r="C23" s="36">
        <f t="array" aca="1" ref="C23" ca="1">INDIRECT("'" &amp; A23 &amp; "'!D3")</f>
        <v>0</v>
      </c>
      <c r="D23" s="36">
        <f ca="1">C23+20</f>
        <v>20</v>
      </c>
      <c r="E23" s="17"/>
    </row>
    <row r="24" spans="1:5" ht="60" customHeight="1" x14ac:dyDescent="0.2">
      <c r="A24" s="57" t="s">
        <v>26</v>
      </c>
      <c r="B24" s="37">
        <f t="shared" ca="1" si="0"/>
        <v>0</v>
      </c>
      <c r="C24" s="36">
        <f t="array" aca="1" ref="C24" ca="1">INDIRECT("'" &amp; A24 &amp; "'!D3")</f>
        <v>0</v>
      </c>
      <c r="D24" s="36">
        <f ca="1">C24+48</f>
        <v>48</v>
      </c>
      <c r="E24" s="17"/>
    </row>
    <row r="25" spans="1:5" ht="60" customHeight="1" x14ac:dyDescent="0.2">
      <c r="A25" s="31" t="s">
        <v>27</v>
      </c>
      <c r="B25" s="37">
        <f t="shared" ca="1" si="0"/>
        <v>0</v>
      </c>
      <c r="C25" s="36">
        <f t="array" aca="1" ref="C25" ca="1">INDIRECT("'" &amp; A25 &amp; "'!D3")</f>
        <v>0</v>
      </c>
      <c r="D25" s="36">
        <f ca="1">C25+16</f>
        <v>16</v>
      </c>
      <c r="E25" s="17"/>
    </row>
    <row r="26" spans="1:5" ht="60" customHeight="1" x14ac:dyDescent="0.2">
      <c r="A26" s="57" t="s">
        <v>28</v>
      </c>
      <c r="B26" s="37">
        <f t="shared" ca="1" si="0"/>
        <v>0</v>
      </c>
      <c r="C26" s="36">
        <f t="array" aca="1" ref="C26" ca="1">INDIRECT("'" &amp; A26 &amp; "'!D3")</f>
        <v>0</v>
      </c>
      <c r="D26" s="36">
        <f ca="1">C26+11</f>
        <v>11</v>
      </c>
      <c r="E26" s="17"/>
    </row>
    <row r="27" spans="1:5" ht="16" customHeight="1" x14ac:dyDescent="0.2">
      <c r="A27" s="17"/>
      <c r="B27" s="17"/>
      <c r="C27" s="35"/>
      <c r="D27" s="35"/>
      <c r="E27" s="17"/>
    </row>
    <row r="28" spans="1:5" ht="16" customHeight="1" x14ac:dyDescent="0.2">
      <c r="A28" s="17"/>
      <c r="B28" s="17"/>
      <c r="C28" s="35"/>
      <c r="D28" s="35"/>
      <c r="E28" s="17"/>
    </row>
    <row r="29" spans="1:5" ht="16" customHeight="1" x14ac:dyDescent="0.2">
      <c r="A29" s="17"/>
      <c r="B29" s="17"/>
      <c r="C29" s="35"/>
      <c r="D29" s="35"/>
      <c r="E29" s="17"/>
    </row>
    <row r="30" spans="1:5" ht="16" customHeight="1" x14ac:dyDescent="0.2">
      <c r="A30" s="17"/>
      <c r="B30" s="17"/>
      <c r="C30" s="35"/>
      <c r="D30" s="35"/>
      <c r="E30" s="17"/>
    </row>
    <row r="31" spans="1:5" ht="16" customHeight="1" x14ac:dyDescent="0.2">
      <c r="A31" s="17"/>
      <c r="B31" s="17"/>
      <c r="C31" s="35"/>
      <c r="D31" s="35"/>
      <c r="E31" s="17"/>
    </row>
    <row r="32" spans="1:5" ht="16" customHeight="1" x14ac:dyDescent="0.2">
      <c r="A32" s="17"/>
      <c r="B32" s="17"/>
      <c r="C32" s="35"/>
      <c r="D32" s="35"/>
      <c r="E32" s="17"/>
    </row>
    <row r="33" spans="1:5" ht="16" customHeight="1" x14ac:dyDescent="0.2">
      <c r="A33" s="17"/>
      <c r="B33" s="17"/>
      <c r="C33" s="35"/>
      <c r="D33" s="35"/>
      <c r="E33" s="17"/>
    </row>
    <row r="34" spans="1:5" ht="16" customHeight="1" x14ac:dyDescent="0.2">
      <c r="A34" s="17"/>
      <c r="B34" s="17"/>
      <c r="C34" s="35"/>
      <c r="D34" s="35"/>
      <c r="E34" s="17"/>
    </row>
    <row r="35" spans="1:5" ht="16" customHeight="1" x14ac:dyDescent="0.2">
      <c r="A35" s="17"/>
      <c r="B35" s="17"/>
      <c r="C35" s="35"/>
      <c r="D35" s="35"/>
      <c r="E35" s="17"/>
    </row>
    <row r="36" spans="1:5" ht="16" customHeight="1" x14ac:dyDescent="0.2">
      <c r="A36" s="17"/>
      <c r="B36" s="17"/>
      <c r="C36" s="35"/>
      <c r="D36" s="35"/>
      <c r="E36" s="17"/>
    </row>
    <row r="37" spans="1:5" ht="16" customHeight="1" x14ac:dyDescent="0.2">
      <c r="A37" s="17"/>
      <c r="B37" s="17"/>
      <c r="C37" s="35"/>
      <c r="D37" s="35"/>
      <c r="E37" s="17"/>
    </row>
    <row r="38" spans="1:5" ht="16" customHeight="1" x14ac:dyDescent="0.2">
      <c r="A38" s="17"/>
      <c r="B38" s="17"/>
      <c r="C38" s="35"/>
      <c r="D38" s="35"/>
      <c r="E38" s="17"/>
    </row>
    <row r="39" spans="1:5" ht="16" customHeight="1" x14ac:dyDescent="0.2">
      <c r="A39" s="17"/>
      <c r="B39" s="17"/>
      <c r="C39" s="35"/>
      <c r="D39" s="35"/>
      <c r="E39" s="17"/>
    </row>
    <row r="40" spans="1:5" ht="16" customHeight="1" x14ac:dyDescent="0.2">
      <c r="A40" s="17"/>
      <c r="B40" s="17"/>
      <c r="C40" s="35"/>
      <c r="D40" s="35"/>
      <c r="E40" s="17"/>
    </row>
    <row r="41" spans="1:5" ht="16" customHeight="1" x14ac:dyDescent="0.2">
      <c r="A41" s="17"/>
      <c r="B41" s="17"/>
      <c r="C41" s="35"/>
      <c r="D41" s="35"/>
      <c r="E41" s="17"/>
    </row>
    <row r="42" spans="1:5" ht="16" customHeight="1" x14ac:dyDescent="0.2">
      <c r="A42" s="17"/>
      <c r="B42" s="17"/>
      <c r="C42" s="35"/>
      <c r="D42" s="35"/>
      <c r="E42" s="17"/>
    </row>
    <row r="43" spans="1:5" ht="16" customHeight="1" x14ac:dyDescent="0.2">
      <c r="A43" s="17"/>
      <c r="B43" s="17"/>
      <c r="C43" s="35"/>
      <c r="D43" s="35"/>
      <c r="E43" s="17"/>
    </row>
    <row r="44" spans="1:5" ht="16" customHeight="1" x14ac:dyDescent="0.2">
      <c r="A44" s="17"/>
      <c r="B44" s="17"/>
      <c r="C44" s="35"/>
      <c r="D44" s="35"/>
      <c r="E44" s="17"/>
    </row>
    <row r="45" spans="1:5" ht="16" customHeight="1" x14ac:dyDescent="0.2">
      <c r="A45" s="17"/>
      <c r="B45" s="17"/>
      <c r="C45" s="35"/>
      <c r="D45" s="35"/>
      <c r="E45" s="17"/>
    </row>
    <row r="46" spans="1:5" ht="16" customHeight="1" x14ac:dyDescent="0.2">
      <c r="A46" s="17"/>
      <c r="B46" s="17"/>
      <c r="C46" s="35"/>
      <c r="D46" s="35"/>
      <c r="E46" s="17"/>
    </row>
    <row r="47" spans="1:5" ht="16" customHeight="1" x14ac:dyDescent="0.2">
      <c r="A47" s="17"/>
      <c r="B47" s="17"/>
      <c r="C47" s="35"/>
      <c r="D47" s="35"/>
      <c r="E47" s="17"/>
    </row>
    <row r="48" spans="1:5" ht="16" customHeight="1" x14ac:dyDescent="0.2">
      <c r="A48" s="17"/>
      <c r="B48" s="17"/>
      <c r="C48" s="35"/>
      <c r="D48" s="35"/>
      <c r="E48" s="17"/>
    </row>
    <row r="49" spans="1:5" ht="16" customHeight="1" x14ac:dyDescent="0.2">
      <c r="A49" s="17"/>
      <c r="B49" s="17"/>
      <c r="C49" s="35"/>
      <c r="D49" s="35"/>
      <c r="E49" s="17"/>
    </row>
    <row r="50" spans="1:5" ht="16" customHeight="1" x14ac:dyDescent="0.2">
      <c r="A50" s="17"/>
      <c r="B50" s="17"/>
      <c r="C50" s="35"/>
      <c r="D50" s="35"/>
      <c r="E50" s="17"/>
    </row>
    <row r="51" spans="1:5" ht="16" customHeight="1" x14ac:dyDescent="0.2">
      <c r="A51" s="17"/>
      <c r="B51" s="17"/>
      <c r="C51" s="35"/>
      <c r="D51" s="35"/>
      <c r="E51" s="17"/>
    </row>
    <row r="52" spans="1:5" ht="16" customHeight="1" x14ac:dyDescent="0.2">
      <c r="A52" s="17"/>
      <c r="B52" s="17"/>
      <c r="C52" s="35"/>
      <c r="D52" s="35"/>
      <c r="E52" s="17"/>
    </row>
    <row r="53" spans="1:5" ht="16" customHeight="1" x14ac:dyDescent="0.2">
      <c r="A53" s="17"/>
      <c r="B53" s="17"/>
      <c r="C53" s="35"/>
      <c r="D53" s="35"/>
      <c r="E53" s="17"/>
    </row>
    <row r="54" spans="1:5" ht="16" customHeight="1" x14ac:dyDescent="0.2">
      <c r="A54" s="17"/>
      <c r="B54" s="17"/>
      <c r="C54" s="35"/>
      <c r="D54" s="35"/>
      <c r="E54" s="17"/>
    </row>
    <row r="55" spans="1:5" ht="16" customHeight="1" x14ac:dyDescent="0.2">
      <c r="A55" s="17"/>
      <c r="B55" s="17"/>
      <c r="C55" s="35"/>
      <c r="D55" s="35"/>
      <c r="E55" s="17"/>
    </row>
    <row r="56" spans="1:5" ht="16" customHeight="1" x14ac:dyDescent="0.2">
      <c r="A56" s="17"/>
      <c r="B56" s="17"/>
      <c r="C56" s="35"/>
      <c r="D56" s="35"/>
      <c r="E56" s="17"/>
    </row>
    <row r="57" spans="1:5" ht="16" customHeight="1" x14ac:dyDescent="0.2">
      <c r="A57" s="17"/>
      <c r="B57" s="17"/>
      <c r="C57" s="35"/>
      <c r="D57" s="35"/>
      <c r="E57" s="17"/>
    </row>
    <row r="58" spans="1:5" ht="16" customHeight="1" x14ac:dyDescent="0.2">
      <c r="A58" s="17"/>
      <c r="B58" s="17"/>
      <c r="C58" s="35"/>
      <c r="D58" s="35"/>
      <c r="E58" s="17"/>
    </row>
    <row r="59" spans="1:5" ht="16" customHeight="1" x14ac:dyDescent="0.2">
      <c r="A59" s="17"/>
      <c r="B59" s="17"/>
      <c r="C59" s="35"/>
      <c r="D59" s="35"/>
      <c r="E59" s="17"/>
    </row>
    <row r="60" spans="1:5" ht="16" customHeight="1" x14ac:dyDescent="0.2">
      <c r="A60" s="17"/>
      <c r="B60" s="17"/>
      <c r="C60" s="35"/>
      <c r="D60" s="35"/>
      <c r="E60" s="17"/>
    </row>
    <row r="61" spans="1:5" ht="16" customHeight="1" x14ac:dyDescent="0.2">
      <c r="A61" s="17"/>
      <c r="B61" s="17"/>
      <c r="C61" s="35"/>
      <c r="D61" s="35"/>
      <c r="E61" s="17"/>
    </row>
    <row r="62" spans="1:5" ht="16" customHeight="1" x14ac:dyDescent="0.2">
      <c r="A62" s="17"/>
      <c r="B62" s="17"/>
      <c r="C62" s="35"/>
      <c r="D62" s="35"/>
      <c r="E62" s="17"/>
    </row>
    <row r="63" spans="1:5" ht="16" customHeight="1" x14ac:dyDescent="0.2">
      <c r="A63" s="17"/>
      <c r="B63" s="17"/>
      <c r="C63" s="35"/>
      <c r="D63" s="35"/>
      <c r="E63" s="17"/>
    </row>
    <row r="64" spans="1:5" ht="16" customHeight="1" x14ac:dyDescent="0.2">
      <c r="A64" s="17"/>
      <c r="B64" s="17"/>
      <c r="C64" s="35"/>
      <c r="D64" s="35"/>
      <c r="E64" s="17"/>
    </row>
    <row r="65" spans="1:5" ht="16" customHeight="1" x14ac:dyDescent="0.2">
      <c r="A65" s="17"/>
      <c r="B65" s="17"/>
      <c r="C65" s="35"/>
      <c r="D65" s="35"/>
      <c r="E65" s="17"/>
    </row>
    <row r="66" spans="1:5" ht="16" customHeight="1" x14ac:dyDescent="0.2">
      <c r="A66" s="17"/>
      <c r="B66" s="17"/>
      <c r="C66" s="35"/>
      <c r="D66" s="35"/>
      <c r="E66" s="17"/>
    </row>
    <row r="67" spans="1:5" ht="16" customHeight="1" x14ac:dyDescent="0.2">
      <c r="A67" s="17"/>
      <c r="B67" s="17"/>
      <c r="C67" s="35"/>
      <c r="D67" s="35"/>
      <c r="E67" s="17"/>
    </row>
    <row r="68" spans="1:5" ht="16" customHeight="1" x14ac:dyDescent="0.2">
      <c r="A68" s="17"/>
      <c r="B68" s="17"/>
      <c r="C68" s="35"/>
      <c r="D68" s="35"/>
      <c r="E68" s="17"/>
    </row>
    <row r="69" spans="1:5" ht="16" customHeight="1" x14ac:dyDescent="0.2">
      <c r="A69" s="17"/>
      <c r="B69" s="17"/>
      <c r="C69" s="35"/>
      <c r="D69" s="35"/>
      <c r="E69" s="17"/>
    </row>
    <row r="70" spans="1:5" ht="16" customHeight="1" x14ac:dyDescent="0.2">
      <c r="A70" s="17"/>
      <c r="B70" s="17"/>
      <c r="C70" s="35"/>
      <c r="D70" s="35"/>
      <c r="E70" s="17"/>
    </row>
    <row r="71" spans="1:5" ht="16" customHeight="1" x14ac:dyDescent="0.2">
      <c r="A71" s="17"/>
      <c r="B71" s="17"/>
      <c r="C71" s="35"/>
      <c r="D71" s="35"/>
      <c r="E71" s="17"/>
    </row>
    <row r="72" spans="1:5" ht="16" customHeight="1" x14ac:dyDescent="0.2">
      <c r="A72" s="17"/>
      <c r="B72" s="17"/>
      <c r="C72" s="35"/>
      <c r="D72" s="35"/>
      <c r="E72" s="17"/>
    </row>
    <row r="73" spans="1:5" ht="16" customHeight="1" x14ac:dyDescent="0.2">
      <c r="A73" s="17"/>
      <c r="B73" s="17"/>
      <c r="C73" s="35"/>
      <c r="D73" s="35"/>
      <c r="E73" s="17"/>
    </row>
    <row r="74" spans="1:5" ht="16" customHeight="1" x14ac:dyDescent="0.2">
      <c r="A74" s="17"/>
      <c r="B74" s="17"/>
      <c r="C74" s="35"/>
      <c r="D74" s="35"/>
    </row>
    <row r="75" spans="1:5" ht="16" customHeight="1" x14ac:dyDescent="0.2">
      <c r="A75" s="17"/>
      <c r="B75" s="17"/>
      <c r="C75" s="35"/>
      <c r="D75" s="35"/>
    </row>
    <row r="76" spans="1:5" ht="16" customHeight="1" x14ac:dyDescent="0.2">
      <c r="A76" s="17"/>
      <c r="B76" s="17"/>
      <c r="C76" s="35"/>
      <c r="D76" s="35"/>
    </row>
    <row r="77" spans="1:5" ht="16" customHeight="1" x14ac:dyDescent="0.2">
      <c r="A77" s="17"/>
      <c r="B77" s="17"/>
      <c r="C77" s="35"/>
      <c r="D77" s="35"/>
    </row>
  </sheetData>
  <pageMargins left="0.25" right="0.25" top="0.5" bottom="0.5" header="0.3" footer="0.3"/>
  <pageSetup paperSize="9" scale="41" fitToHeight="2" orientation="landscape"/>
  <headerFooter>
    <oddHeader>&amp;L&amp;G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3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50.83203125" defaultRowHeight="50" customHeight="1" x14ac:dyDescent="0.2"/>
  <cols>
    <col min="1" max="1" width="42.83203125" style="1" customWidth="1"/>
    <col min="2" max="2" width="67.1640625" style="1" customWidth="1"/>
    <col min="3" max="3" width="56.83203125" style="1" customWidth="1"/>
    <col min="4" max="4" width="56.1640625" customWidth="1"/>
    <col min="5" max="20" width="50.83203125" style="1" customWidth="1"/>
    <col min="21" max="21" width="0.1640625" style="1" customWidth="1"/>
    <col min="22" max="22" width="0.83203125" style="1" customWidth="1"/>
    <col min="23" max="23" width="0.1640625" style="1" customWidth="1"/>
    <col min="24" max="24" width="50.83203125" style="1" customWidth="1"/>
    <col min="25" max="16384" width="50.83203125" style="1"/>
  </cols>
  <sheetData>
    <row r="1" spans="1:14" ht="67" customHeight="1" x14ac:dyDescent="0.2">
      <c r="B1" s="2"/>
      <c r="D1" s="1"/>
    </row>
    <row r="2" spans="1:14" ht="129" customHeight="1" x14ac:dyDescent="0.2">
      <c r="B2" s="2"/>
      <c r="D2" s="1"/>
    </row>
    <row r="3" spans="1:14" ht="50" customHeight="1" x14ac:dyDescent="0.2">
      <c r="A3" s="4" t="s">
        <v>0</v>
      </c>
      <c r="B3" s="64">
        <v>46119</v>
      </c>
    </row>
    <row r="4" spans="1:14" s="14" customFormat="1" ht="50" customHeight="1" x14ac:dyDescent="0.2">
      <c r="A4" s="93"/>
      <c r="B4" s="94"/>
      <c r="C4" s="1"/>
    </row>
    <row r="5" spans="1:14" s="14" customFormat="1" ht="50" customHeight="1" x14ac:dyDescent="0.2">
      <c r="A5" s="49" t="s">
        <v>2</v>
      </c>
      <c r="B5" s="50" t="s">
        <v>29</v>
      </c>
      <c r="C5" s="50" t="s">
        <v>4</v>
      </c>
      <c r="D5" s="50" t="s">
        <v>3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s="15" customFormat="1" ht="50" customHeight="1" x14ac:dyDescent="0.2">
      <c r="A6" s="51" t="s">
        <v>6</v>
      </c>
      <c r="B6" s="52" t="s">
        <v>30</v>
      </c>
      <c r="C6" s="56" t="s">
        <v>8</v>
      </c>
      <c r="D6" s="56" t="s">
        <v>7</v>
      </c>
      <c r="E6" s="16"/>
      <c r="F6" s="16"/>
      <c r="G6" s="16"/>
      <c r="H6" s="16"/>
      <c r="I6" s="14"/>
      <c r="J6" s="16"/>
      <c r="K6" s="16"/>
      <c r="L6" s="16"/>
      <c r="M6" s="16"/>
      <c r="N6" s="16"/>
    </row>
    <row r="7" spans="1:14" s="15" customFormat="1" ht="50" customHeight="1" x14ac:dyDescent="0.2">
      <c r="A7" s="68" t="s">
        <v>10</v>
      </c>
      <c r="B7" s="29" t="s">
        <v>31</v>
      </c>
      <c r="C7" s="67">
        <f ca="1">IFERROR(
   COUNTIF(INDIRECT("'" &amp; LOOKUP("zzz",$A$7:A7) &amp; "'!C:C"), B7),
   0
)</f>
        <v>0</v>
      </c>
      <c r="D7" s="73">
        <f t="array" aca="1" ref="D7" ca="1">IFERROR(
  COUNTIFS(
    INDIRECT("'" &amp; LOOKUP(2,1/($A$7:A7&lt;&gt;""),$A$7:A7) &amp; "'!C:C"), $B7,
    INDIRECT("'" &amp; LOOKUP(2,1/($A$7:A7&lt;&gt;""),$A$7:A7) &amp; "'!E:E"), "&gt;=" &amp; ($B$3-6),
    INDIRECT("'" &amp; LOOKUP(2,1/($A$7:A7&lt;&gt;""),$A$7:A7) &amp; "'!E:E"), "&lt;=" &amp; $B$3
  ),
0)</f>
        <v>0</v>
      </c>
      <c r="E7" s="16"/>
      <c r="F7" s="16"/>
      <c r="G7" s="16"/>
      <c r="H7" s="16"/>
      <c r="I7" s="14"/>
      <c r="J7" s="16"/>
      <c r="K7" s="16"/>
      <c r="L7" s="16"/>
      <c r="M7" s="16"/>
      <c r="N7" s="16"/>
    </row>
    <row r="8" spans="1:14" s="14" customFormat="1" ht="50" customHeight="1" x14ac:dyDescent="0.2">
      <c r="A8" s="28"/>
      <c r="B8" s="29" t="s">
        <v>32</v>
      </c>
      <c r="C8" s="67">
        <f ca="1">IFERROR(
   COUNTIF(INDIRECT("'" &amp; LOOKUP("zzz",$A$7:A8) &amp; "'!C:C"), B8),
   0
)</f>
        <v>0</v>
      </c>
      <c r="D8" s="73">
        <f t="array" aca="1" ref="D8" ca="1">IFERROR(
  COUNTIFS(
    INDIRECT("'" &amp; LOOKUP(2,1/($A$7:A8&lt;&gt;""),$A$7:A8) &amp; "'!C:C"), $B8,
    INDIRECT("'" &amp; LOOKUP(2,1/($A$7:A8&lt;&gt;""),$A$7:A8) &amp; "'!E:E"), "&gt;=" &amp; ($B$3-6),
    INDIRECT("'" &amp; LOOKUP(2,1/($A$7:A8&lt;&gt;""),$A$7:A8) &amp; "'!E:E"), "&lt;=" &amp; $B$3
  ),
0)</f>
        <v>0</v>
      </c>
    </row>
    <row r="9" spans="1:14" s="14" customFormat="1" ht="50" customHeight="1" x14ac:dyDescent="0.2">
      <c r="A9" s="28"/>
      <c r="B9" s="29" t="s">
        <v>33</v>
      </c>
      <c r="C9" s="67">
        <f ca="1">IFERROR(
   COUNTIF(INDIRECT("'" &amp; LOOKUP("zzz",$A$7:A9) &amp; "'!C:C"), B9),
   0
)</f>
        <v>0</v>
      </c>
      <c r="D9" s="73">
        <f t="array" aca="1" ref="D9" ca="1">IFERROR(
  COUNTIFS(
    INDIRECT("'" &amp; LOOKUP(2,1/($A$7:A9&lt;&gt;""),$A$7:A9) &amp; "'!C:C"), $B9,
    INDIRECT("'" &amp; LOOKUP(2,1/($A$7:A9&lt;&gt;""),$A$7:A9) &amp; "'!E:E"), "&gt;=" &amp; ($B$3-6),
    INDIRECT("'" &amp; LOOKUP(2,1/($A$7:A9&lt;&gt;""),$A$7:A9) &amp; "'!E:E"), "&lt;=" &amp; $B$3
  ),
0)</f>
        <v>0</v>
      </c>
    </row>
    <row r="10" spans="1:14" s="14" customFormat="1" ht="50" customHeight="1" x14ac:dyDescent="0.2">
      <c r="A10" s="28"/>
      <c r="B10" s="29" t="s">
        <v>34</v>
      </c>
      <c r="C10" s="67">
        <f ca="1">IFERROR(
   COUNTIF(INDIRECT("'" &amp; LOOKUP("zzz",$A$7:A10) &amp; "'!C:C"), B10),
   0
)</f>
        <v>0</v>
      </c>
      <c r="D10" s="73">
        <f t="array" aca="1" ref="D10" ca="1">IFERROR(
  COUNTIFS(
    INDIRECT("'" &amp; LOOKUP(2,1/($A$7:A10&lt;&gt;""),$A$7:A10) &amp; "'!C:C"), $B10,
    INDIRECT("'" &amp; LOOKUP(2,1/($A$7:A10&lt;&gt;""),$A$7:A10) &amp; "'!E:E"), "&gt;=" &amp; ($B$3-6),
    INDIRECT("'" &amp; LOOKUP(2,1/($A$7:A10&lt;&gt;""),$A$7:A10) &amp; "'!E:E"), "&lt;=" &amp; $B$3
  ),
0)</f>
        <v>0</v>
      </c>
    </row>
    <row r="11" spans="1:14" s="14" customFormat="1" ht="50" customHeight="1" x14ac:dyDescent="0.2">
      <c r="A11" s="28"/>
      <c r="B11" s="29" t="s">
        <v>35</v>
      </c>
      <c r="C11" s="67">
        <f ca="1">IFERROR(
   COUNTIF(INDIRECT("'" &amp; LOOKUP("zzz",$A$7:A11) &amp; "'!C:C"), B11),
   0
)</f>
        <v>0</v>
      </c>
      <c r="D11" s="73">
        <f t="array" aca="1" ref="D11" ca="1">IFERROR(
  COUNTIFS(
    INDIRECT("'" &amp; LOOKUP(2,1/($A$7:A11&lt;&gt;""),$A$7:A11) &amp; "'!C:C"), $B11,
    INDIRECT("'" &amp; LOOKUP(2,1/($A$7:A11&lt;&gt;""),$A$7:A11) &amp; "'!E:E"), "&gt;=" &amp; ($B$3-6),
    INDIRECT("'" &amp; LOOKUP(2,1/($A$7:A11&lt;&gt;""),$A$7:A11) &amp; "'!E:E"), "&lt;=" &amp; $B$3
  ),
0)</f>
        <v>0</v>
      </c>
    </row>
    <row r="12" spans="1:14" s="14" customFormat="1" ht="50" customHeight="1" x14ac:dyDescent="0.2">
      <c r="A12" s="28"/>
      <c r="B12" s="29" t="s">
        <v>36</v>
      </c>
      <c r="C12" s="67">
        <f ca="1">IFERROR(
   COUNTIF(INDIRECT("'" &amp; LOOKUP("zzz",$A$7:A12) &amp; "'!C:C"), B12),
   0
)</f>
        <v>0</v>
      </c>
      <c r="D12" s="73">
        <f t="array" aca="1" ref="D12" ca="1">IFERROR(
  COUNTIFS(
    INDIRECT("'" &amp; LOOKUP(2,1/($A$7:A12&lt;&gt;""),$A$7:A12) &amp; "'!C:C"), $B12,
    INDIRECT("'" &amp; LOOKUP(2,1/($A$7:A12&lt;&gt;""),$A$7:A12) &amp; "'!E:E"), "&gt;=" &amp; ($B$3-6),
    INDIRECT("'" &amp; LOOKUP(2,1/($A$7:A12&lt;&gt;""),$A$7:A12) &amp; "'!E:E"), "&lt;=" &amp; $B$3
  ),
0)</f>
        <v>0</v>
      </c>
    </row>
    <row r="13" spans="1:14" s="14" customFormat="1" ht="50" customHeight="1" x14ac:dyDescent="0.2">
      <c r="A13" s="28"/>
      <c r="B13" s="29" t="s">
        <v>37</v>
      </c>
      <c r="C13" s="67">
        <f ca="1">IFERROR(
   COUNTIF(INDIRECT("'" &amp; LOOKUP("zzz",$A$7:A13) &amp; "'!C:C"), B13),
   0
)</f>
        <v>0</v>
      </c>
      <c r="D13" s="73">
        <f t="array" aca="1" ref="D13" ca="1">IFERROR(
  COUNTIFS(
    INDIRECT("'" &amp; LOOKUP(2,1/($A$7:A13&lt;&gt;""),$A$7:A13) &amp; "'!C:C"), $B13,
    INDIRECT("'" &amp; LOOKUP(2,1/($A$7:A13&lt;&gt;""),$A$7:A13) &amp; "'!E:E"), "&gt;=" &amp; ($B$3-6),
    INDIRECT("'" &amp; LOOKUP(2,1/($A$7:A13&lt;&gt;""),$A$7:A13) &amp; "'!E:E"), "&lt;=" &amp; $B$3
  ),
0)</f>
        <v>0</v>
      </c>
    </row>
    <row r="14" spans="1:14" s="14" customFormat="1" ht="50" customHeight="1" x14ac:dyDescent="0.2">
      <c r="A14" s="28"/>
      <c r="B14" s="29" t="s">
        <v>38</v>
      </c>
      <c r="C14" s="67">
        <f ca="1">IFERROR(
   COUNTIF(INDIRECT("'" &amp; LOOKUP("zzz",$A$7:A14) &amp; "'!C:C"), B14),
   0
)</f>
        <v>0</v>
      </c>
      <c r="D14" s="73">
        <f t="array" aca="1" ref="D14" ca="1">IFERROR(
  COUNTIFS(
    INDIRECT("'" &amp; LOOKUP(2,1/($A$7:A14&lt;&gt;""),$A$7:A14) &amp; "'!C:C"), $B14,
    INDIRECT("'" &amp; LOOKUP(2,1/($A$7:A14&lt;&gt;""),$A$7:A14) &amp; "'!E:E"), "&gt;=" &amp; ($B$3-6),
    INDIRECT("'" &amp; LOOKUP(2,1/($A$7:A14&lt;&gt;""),$A$7:A14) &amp; "'!E:E"), "&lt;=" &amp; $B$3
  ),
0)</f>
        <v>0</v>
      </c>
    </row>
    <row r="15" spans="1:14" s="14" customFormat="1" ht="50" customHeight="1" x14ac:dyDescent="0.2">
      <c r="A15" s="28"/>
      <c r="B15" s="29" t="s">
        <v>39</v>
      </c>
      <c r="C15" s="67">
        <f ca="1">IFERROR(
   COUNTIF(INDIRECT("'" &amp; LOOKUP("zzz",$A$7:A15) &amp; "'!C:C"), B15),
   0
)</f>
        <v>0</v>
      </c>
      <c r="D15" s="73">
        <f t="array" aca="1" ref="D15" ca="1">IFERROR(
  COUNTIFS(
    INDIRECT("'" &amp; LOOKUP(2,1/($A$7:A15&lt;&gt;""),$A$7:A15) &amp; "'!C:C"), $B15,
    INDIRECT("'" &amp; LOOKUP(2,1/($A$7:A15&lt;&gt;""),$A$7:A15) &amp; "'!E:E"), "&gt;=" &amp; ($B$3-6),
    INDIRECT("'" &amp; LOOKUP(2,1/($A$7:A15&lt;&gt;""),$A$7:A15) &amp; "'!E:E"), "&lt;=" &amp; $B$3
  ),
0)</f>
        <v>0</v>
      </c>
    </row>
    <row r="16" spans="1:14" s="14" customFormat="1" ht="50" customHeight="1" x14ac:dyDescent="0.2">
      <c r="A16" s="28"/>
      <c r="B16" s="29" t="s">
        <v>40</v>
      </c>
      <c r="C16" s="67">
        <f ca="1">IFERROR(
   COUNTIF(INDIRECT("'" &amp; LOOKUP("zzz",$A$7:A16) &amp; "'!C:C"), B16),
   0
)</f>
        <v>0</v>
      </c>
      <c r="D16" s="73">
        <f t="array" aca="1" ref="D16" ca="1">IFERROR(
  COUNTIFS(
    INDIRECT("'" &amp; LOOKUP(2,1/($A$7:A16&lt;&gt;""),$A$7:A16) &amp; "'!C:C"), $B16,
    INDIRECT("'" &amp; LOOKUP(2,1/($A$7:A16&lt;&gt;""),$A$7:A16) &amp; "'!E:E"), "&gt;=" &amp; ($B$3-6),
    INDIRECT("'" &amp; LOOKUP(2,1/($A$7:A16&lt;&gt;""),$A$7:A16) &amp; "'!E:E"), "&lt;=" &amp; $B$3
  ),
0)</f>
        <v>0</v>
      </c>
    </row>
    <row r="17" spans="1:4" s="14" customFormat="1" ht="50" customHeight="1" x14ac:dyDescent="0.2">
      <c r="A17" s="28"/>
      <c r="B17" s="29" t="s">
        <v>41</v>
      </c>
      <c r="C17" s="67">
        <f ca="1">IFERROR(
   COUNTIF(INDIRECT("'" &amp; LOOKUP("zzz",$A$7:A17) &amp; "'!C:C"), B17),
   0
)</f>
        <v>0</v>
      </c>
      <c r="D17" s="73">
        <f t="array" aca="1" ref="D17" ca="1">IFERROR(
  COUNTIFS(
    INDIRECT("'" &amp; LOOKUP(2,1/($A$7:A17&lt;&gt;""),$A$7:A17) &amp; "'!C:C"), $B17,
    INDIRECT("'" &amp; LOOKUP(2,1/($A$7:A17&lt;&gt;""),$A$7:A17) &amp; "'!E:E"), "&gt;=" &amp; ($B$3-6),
    INDIRECT("'" &amp; LOOKUP(2,1/($A$7:A17&lt;&gt;""),$A$7:A17) &amp; "'!E:E"), "&lt;=" &amp; $B$3
  ),
0)</f>
        <v>0</v>
      </c>
    </row>
    <row r="18" spans="1:4" s="14" customFormat="1" ht="50" customHeight="1" x14ac:dyDescent="0.2">
      <c r="A18" s="28"/>
      <c r="B18" s="29" t="s">
        <v>42</v>
      </c>
      <c r="C18" s="67">
        <f ca="1">IFERROR(
   COUNTIF(INDIRECT("'" &amp; LOOKUP("zzz",$A$7:A18) &amp; "'!C:C"), B18),
   0
)</f>
        <v>0</v>
      </c>
      <c r="D18" s="73">
        <f t="array" aca="1" ref="D18" ca="1">IFERROR(
  COUNTIFS(
    INDIRECT("'" &amp; LOOKUP(2,1/($A$7:A18&lt;&gt;""),$A$7:A18) &amp; "'!C:C"), $B18,
    INDIRECT("'" &amp; LOOKUP(2,1/($A$7:A18&lt;&gt;""),$A$7:A18) &amp; "'!E:E"), "&gt;=" &amp; ($B$3-6),
    INDIRECT("'" &amp; LOOKUP(2,1/($A$7:A18&lt;&gt;""),$A$7:A18) &amp; "'!E:E"), "&lt;=" &amp; $B$3
  ),
0)</f>
        <v>0</v>
      </c>
    </row>
    <row r="19" spans="1:4" s="14" customFormat="1" ht="50" customHeight="1" x14ac:dyDescent="0.2">
      <c r="A19" s="28"/>
      <c r="B19" s="29" t="s">
        <v>43</v>
      </c>
      <c r="C19" s="67">
        <f ca="1">IFERROR(
   COUNTIF(INDIRECT("'" &amp; LOOKUP("zzz",$A$7:A19) &amp; "'!C:C"), B19),
   0
)</f>
        <v>0</v>
      </c>
      <c r="D19" s="73">
        <f t="array" aca="1" ref="D19" ca="1">IFERROR(
  COUNTIFS(
    INDIRECT("'" &amp; LOOKUP(2,1/($A$7:A19&lt;&gt;""),$A$7:A19) &amp; "'!C:C"), $B19,
    INDIRECT("'" &amp; LOOKUP(2,1/($A$7:A19&lt;&gt;""),$A$7:A19) &amp; "'!E:E"), "&gt;=" &amp; ($B$3-6),
    INDIRECT("'" &amp; LOOKUP(2,1/($A$7:A19&lt;&gt;""),$A$7:A19) &amp; "'!E:E"), "&lt;=" &amp; $B$3
  ),
0)</f>
        <v>0</v>
      </c>
    </row>
    <row r="20" spans="1:4" s="14" customFormat="1" ht="50" customHeight="1" x14ac:dyDescent="0.2">
      <c r="A20" s="28"/>
      <c r="B20" s="29" t="s">
        <v>44</v>
      </c>
      <c r="C20" s="67">
        <f ca="1">IFERROR(
   COUNTIF(INDIRECT("'" &amp; LOOKUP("zzz",$A$7:A20) &amp; "'!C:C"), B20),
   0
)</f>
        <v>0</v>
      </c>
      <c r="D20" s="73">
        <f t="array" aca="1" ref="D20" ca="1">IFERROR(
  COUNTIFS(
    INDIRECT("'" &amp; LOOKUP(2,1/($A$7:A20&lt;&gt;""),$A$7:A20) &amp; "'!C:C"), $B20,
    INDIRECT("'" &amp; LOOKUP(2,1/($A$7:A20&lt;&gt;""),$A$7:A20) &amp; "'!E:E"), "&gt;=" &amp; ($B$3-6),
    INDIRECT("'" &amp; LOOKUP(2,1/($A$7:A20&lt;&gt;""),$A$7:A20) &amp; "'!E:E"), "&lt;=" &amp; $B$3
  ),
0)</f>
        <v>0</v>
      </c>
    </row>
    <row r="21" spans="1:4" s="32" customFormat="1" ht="50" customHeight="1" x14ac:dyDescent="0.2">
      <c r="A21" s="28"/>
      <c r="B21" s="29" t="s">
        <v>45</v>
      </c>
      <c r="C21" s="67">
        <f ca="1">IFERROR(
   COUNTIF(INDIRECT("'" &amp; LOOKUP("zzz",$A$7:A21) &amp; "'!C:C"), B21),
   0
)</f>
        <v>0</v>
      </c>
      <c r="D21" s="73">
        <f t="array" aca="1" ref="D21" ca="1">IFERROR(
  COUNTIFS(
    INDIRECT("'" &amp; LOOKUP(2,1/($A$7:A21&lt;&gt;""),$A$7:A21) &amp; "'!C:C"), $B21,
    INDIRECT("'" &amp; LOOKUP(2,1/($A$7:A21&lt;&gt;""),$A$7:A21) &amp; "'!E:E"), "&gt;=" &amp; ($B$3-6),
    INDIRECT("'" &amp; LOOKUP(2,1/($A$7:A21&lt;&gt;""),$A$7:A21) &amp; "'!E:E"), "&lt;=" &amp; $B$3
  ),
0)</f>
        <v>0</v>
      </c>
    </row>
    <row r="22" spans="1:4" ht="50" customHeight="1" x14ac:dyDescent="0.2">
      <c r="A22" s="26"/>
      <c r="B22" s="27" t="s">
        <v>46</v>
      </c>
      <c r="C22" s="26">
        <f ca="1">IFERROR(
   COUNTIF(INDIRECT("'" &amp; LOOKUP("zzz",$A$7:A22) &amp; "'!C:C"), B22),
   0
)</f>
        <v>0</v>
      </c>
      <c r="D22" s="87">
        <f t="array" aca="1" ref="D22" ca="1">IFERROR(
  COUNTIFS(
    INDIRECT("'" &amp; LOOKUP(2,1/($A$7:A22&lt;&gt;""),$A$7:A22) &amp; "'!C:C"), $B22,
    INDIRECT("'" &amp; LOOKUP(2,1/($A$7:A22&lt;&gt;""),$A$7:A22) &amp; "'!E:E"), "&gt;=" &amp; ($B$3-6),
    INDIRECT("'" &amp; LOOKUP(2,1/($A$7:A22&lt;&gt;""),$A$7:A22) &amp; "'!E:E"), "&lt;=" &amp; $B$3
  ),
0)</f>
        <v>0</v>
      </c>
    </row>
    <row r="23" spans="1:4" ht="50" customHeight="1" x14ac:dyDescent="0.2">
      <c r="A23" s="57" t="s">
        <v>11</v>
      </c>
      <c r="B23" s="29" t="s">
        <v>47</v>
      </c>
      <c r="C23" s="24">
        <f ca="1">IFERROR(
   COUNTIF(INDIRECT("'" &amp; LOOKUP("zzz",$A$7:A23) &amp; "'!C:C"), B23),
   0
)</f>
        <v>0</v>
      </c>
      <c r="D23" s="88">
        <f t="array" aca="1" ref="D23" ca="1">IFERROR(
  COUNTIFS(
    INDIRECT("'" &amp; LOOKUP(2,1/($A$7:A23&lt;&gt;""),$A$7:A23) &amp; "'!C:C"), $B23,
    INDIRECT("'" &amp; LOOKUP(2,1/($A$7:A23&lt;&gt;""),$A$7:A23) &amp; "'!E:E"), "&gt;=" &amp; ($B$3-6),
    INDIRECT("'" &amp; LOOKUP(2,1/($A$7:A23&lt;&gt;""),$A$7:A23) &amp; "'!E:E"), "&lt;=" &amp; $B$3
  ),
0)</f>
        <v>0</v>
      </c>
    </row>
    <row r="24" spans="1:4" ht="50" customHeight="1" x14ac:dyDescent="0.2">
      <c r="A24" s="57"/>
      <c r="B24" s="29" t="s">
        <v>48</v>
      </c>
      <c r="C24" s="24">
        <f ca="1">IFERROR(
   COUNTIF(INDIRECT("'" &amp; LOOKUP("zzz",$A$7:A24) &amp; "'!C:C"), B24),
   0
)</f>
        <v>0</v>
      </c>
      <c r="D24" s="73">
        <f t="array" aca="1" ref="D24" ca="1">IFERROR(
  COUNTIFS(
    INDIRECT("'" &amp; LOOKUP(2,1/($A$7:A24&lt;&gt;""),$A$7:A24) &amp; "'!C:C"), $B24,
    INDIRECT("'" &amp; LOOKUP(2,1/($A$7:A24&lt;&gt;""),$A$7:A24) &amp; "'!E:E"), "&gt;=" &amp; ($B$3-6),
    INDIRECT("'" &amp; LOOKUP(2,1/($A$7:A24&lt;&gt;""),$A$7:A24) &amp; "'!E:E"), "&lt;=" &amp; $B$3
  ),
0)</f>
        <v>0</v>
      </c>
    </row>
    <row r="25" spans="1:4" ht="50" customHeight="1" x14ac:dyDescent="0.2">
      <c r="A25" s="31"/>
      <c r="B25" s="29" t="s">
        <v>49</v>
      </c>
      <c r="C25" s="24">
        <f ca="1">IFERROR(
   COUNTIF(INDIRECT("'" &amp; LOOKUP("zzz",$A$7:A25) &amp; "'!C:C"), B25),
   0
)</f>
        <v>0</v>
      </c>
      <c r="D25" s="73">
        <f t="array" aca="1" ref="D25" ca="1">IFERROR(
  COUNTIFS(
    INDIRECT("'" &amp; LOOKUP(2,1/($A$7:A25&lt;&gt;""),$A$7:A25) &amp; "'!C:C"), $B25,
    INDIRECT("'" &amp; LOOKUP(2,1/($A$7:A25&lt;&gt;""),$A$7:A25) &amp; "'!E:E"), "&gt;=" &amp; ($B$3-6),
    INDIRECT("'" &amp; LOOKUP(2,1/($A$7:A25&lt;&gt;""),$A$7:A25) &amp; "'!E:E"), "&lt;=" &amp; $B$3
  ),
0)</f>
        <v>0</v>
      </c>
    </row>
    <row r="26" spans="1:4" ht="50" customHeight="1" x14ac:dyDescent="0.2">
      <c r="A26" s="31"/>
      <c r="B26" s="29" t="s">
        <v>50</v>
      </c>
      <c r="C26" s="24">
        <f ca="1">IFERROR(
   COUNTIF(INDIRECT("'" &amp; LOOKUP("zzz",$A$7:A26) &amp; "'!C:C"), B26),
   0
)</f>
        <v>0</v>
      </c>
      <c r="D26" s="73">
        <f t="array" aca="1" ref="D26" ca="1">IFERROR(
  COUNTIFS(
    INDIRECT("'" &amp; LOOKUP(2,1/($A$7:A26&lt;&gt;""),$A$7:A26) &amp; "'!C:C"), $B26,
    INDIRECT("'" &amp; LOOKUP(2,1/($A$7:A26&lt;&gt;""),$A$7:A26) &amp; "'!E:E"), "&gt;=" &amp; ($B$3-6),
    INDIRECT("'" &amp; LOOKUP(2,1/($A$7:A26&lt;&gt;""),$A$7:A26) &amp; "'!E:E"), "&lt;=" &amp; $B$3
  ),
0)</f>
        <v>0</v>
      </c>
    </row>
    <row r="27" spans="1:4" ht="50" customHeight="1" x14ac:dyDescent="0.2">
      <c r="A27" s="31"/>
      <c r="B27" s="29" t="s">
        <v>51</v>
      </c>
      <c r="C27" s="24">
        <f ca="1">IFERROR(
   COUNTIF(INDIRECT("'" &amp; LOOKUP("zzz",$A$7:A27) &amp; "'!C:C"), B27),
   0
)</f>
        <v>0</v>
      </c>
      <c r="D27" s="73">
        <f t="array" aca="1" ref="D27" ca="1">IFERROR(
  COUNTIFS(
    INDIRECT("'" &amp; LOOKUP(2,1/($A$7:A27&lt;&gt;""),$A$7:A27) &amp; "'!C:C"), $B27,
    INDIRECT("'" &amp; LOOKUP(2,1/($A$7:A27&lt;&gt;""),$A$7:A27) &amp; "'!E:E"), "&gt;=" &amp; ($B$3-6),
    INDIRECT("'" &amp; LOOKUP(2,1/($A$7:A27&lt;&gt;""),$A$7:A27) &amp; "'!E:E"), "&lt;=" &amp; $B$3
  ),
0)</f>
        <v>0</v>
      </c>
    </row>
    <row r="28" spans="1:4" ht="50" customHeight="1" x14ac:dyDescent="0.2">
      <c r="A28" s="31"/>
      <c r="B28" s="29" t="s">
        <v>52</v>
      </c>
      <c r="C28" s="24">
        <f ca="1">IFERROR(
   COUNTIF(INDIRECT("'" &amp; LOOKUP("zzz",$A$7:A28) &amp; "'!C:C"), B28),
   0
)</f>
        <v>0</v>
      </c>
      <c r="D28" s="73">
        <f t="array" aca="1" ref="D28" ca="1">IFERROR(
  COUNTIFS(
    INDIRECT("'" &amp; LOOKUP(2,1/($A$7:A28&lt;&gt;""),$A$7:A28) &amp; "'!C:C"), $B28,
    INDIRECT("'" &amp; LOOKUP(2,1/($A$7:A28&lt;&gt;""),$A$7:A28) &amp; "'!E:E"), "&gt;=" &amp; ($B$3-6),
    INDIRECT("'" &amp; LOOKUP(2,1/($A$7:A28&lt;&gt;""),$A$7:A28) &amp; "'!E:E"), "&lt;=" &amp; $B$3
  ),
0)</f>
        <v>0</v>
      </c>
    </row>
    <row r="29" spans="1:4" ht="50" customHeight="1" x14ac:dyDescent="0.2">
      <c r="A29" s="65"/>
      <c r="B29" s="43" t="s">
        <v>53</v>
      </c>
      <c r="C29" s="24">
        <f ca="1">IFERROR(
   COUNTIF(INDIRECT("'" &amp; LOOKUP("zzz",$A$7:A29) &amp; "'!C:C"), B29),
   0
)</f>
        <v>0</v>
      </c>
      <c r="D29" s="73">
        <f t="array" aca="1" ref="D29" ca="1">IFERROR(
  COUNTIFS(
    INDIRECT("'" &amp; LOOKUP(2,1/($A$7:A29&lt;&gt;""),$A$7:A29) &amp; "'!C:C"), $B29,
    INDIRECT("'" &amp; LOOKUP(2,1/($A$7:A29&lt;&gt;""),$A$7:A29) &amp; "'!E:E"), "&gt;=" &amp; ($B$3-6),
    INDIRECT("'" &amp; LOOKUP(2,1/($A$7:A29&lt;&gt;""),$A$7:A29) &amp; "'!E:E"), "&lt;=" &amp; $B$3
  ),
0)</f>
        <v>0</v>
      </c>
    </row>
    <row r="30" spans="1:4" ht="50" customHeight="1" x14ac:dyDescent="0.2">
      <c r="A30" s="65"/>
      <c r="B30" s="43" t="s">
        <v>54</v>
      </c>
      <c r="C30" s="24">
        <f ca="1">IFERROR(
   COUNTIF(INDIRECT("'" &amp; LOOKUP("zzz",$A$7:A30) &amp; "'!C:C"), B30),
   0
)</f>
        <v>0</v>
      </c>
      <c r="D30" s="73">
        <f t="array" aca="1" ref="D30" ca="1">IFERROR(
  COUNTIFS(
    INDIRECT("'" &amp; LOOKUP(2,1/($A$7:A30&lt;&gt;""),$A$7:A30) &amp; "'!C:C"), $B30,
    INDIRECT("'" &amp; LOOKUP(2,1/($A$7:A30&lt;&gt;""),$A$7:A30) &amp; "'!E:E"), "&gt;=" &amp; ($B$3-6),
    INDIRECT("'" &amp; LOOKUP(2,1/($A$7:A30&lt;&gt;""),$A$7:A30) &amp; "'!E:E"), "&lt;=" &amp; $B$3
  ),
0)</f>
        <v>0</v>
      </c>
    </row>
    <row r="31" spans="1:4" ht="50" customHeight="1" x14ac:dyDescent="0.2">
      <c r="A31" s="65"/>
      <c r="B31" s="43" t="s">
        <v>55</v>
      </c>
      <c r="C31" s="24">
        <f ca="1">IFERROR(
   COUNTIF(INDIRECT("'" &amp; LOOKUP("zzz",$A$7:A31) &amp; "'!C:C"), B31),
   0
)</f>
        <v>0</v>
      </c>
      <c r="D31" s="73">
        <f t="array" aca="1" ref="D31" ca="1">IFERROR(
  COUNTIFS(
    INDIRECT("'" &amp; LOOKUP(2,1/($A$7:A31&lt;&gt;""),$A$7:A31) &amp; "'!C:C"), $B31,
    INDIRECT("'" &amp; LOOKUP(2,1/($A$7:A31&lt;&gt;""),$A$7:A31) &amp; "'!E:E"), "&gt;=" &amp; ($B$3-6),
    INDIRECT("'" &amp; LOOKUP(2,1/($A$7:A31&lt;&gt;""),$A$7:A31) &amp; "'!E:E"), "&lt;=" &amp; $B$3
  ),
0)</f>
        <v>0</v>
      </c>
    </row>
    <row r="32" spans="1:4" ht="50" customHeight="1" x14ac:dyDescent="0.2">
      <c r="A32" s="65"/>
      <c r="B32" s="43" t="s">
        <v>56</v>
      </c>
      <c r="C32" s="24">
        <f ca="1">IFERROR(
   COUNTIF(INDIRECT("'" &amp; LOOKUP("zzz",$A$7:A32) &amp; "'!C:C"), B32),
   0
)</f>
        <v>0</v>
      </c>
      <c r="D32" s="73">
        <f t="array" aca="1" ref="D32" ca="1">IFERROR(
  COUNTIFS(
    INDIRECT("'" &amp; LOOKUP(2,1/($A$7:A32&lt;&gt;""),$A$7:A32) &amp; "'!C:C"), $B32,
    INDIRECT("'" &amp; LOOKUP(2,1/($A$7:A32&lt;&gt;""),$A$7:A32) &amp; "'!E:E"), "&gt;=" &amp; ($B$3-6),
    INDIRECT("'" &amp; LOOKUP(2,1/($A$7:A32&lt;&gt;""),$A$7:A32) &amp; "'!E:E"), "&lt;=" &amp; $B$3
  ),
0)</f>
        <v>0</v>
      </c>
    </row>
    <row r="33" spans="1:4" ht="50" customHeight="1" x14ac:dyDescent="0.2">
      <c r="A33" s="65"/>
      <c r="B33" s="43" t="s">
        <v>57</v>
      </c>
      <c r="C33" s="24">
        <f ca="1">IFERROR(
   COUNTIF(INDIRECT("'" &amp; LOOKUP("zzz",$A$7:A33) &amp; "'!C:C"), B33),
   0
)</f>
        <v>0</v>
      </c>
      <c r="D33" s="73">
        <f t="array" aca="1" ref="D33" ca="1">IFERROR(
  COUNTIFS(
    INDIRECT("'" &amp; LOOKUP(2,1/($A$7:A33&lt;&gt;""),$A$7:A33) &amp; "'!C:C"), $B33,
    INDIRECT("'" &amp; LOOKUP(2,1/($A$7:A33&lt;&gt;""),$A$7:A33) &amp; "'!E:E"), "&gt;=" &amp; ($B$3-6),
    INDIRECT("'" &amp; LOOKUP(2,1/($A$7:A33&lt;&gt;""),$A$7:A33) &amp; "'!E:E"), "&lt;=" &amp; $B$3
  ),
0)</f>
        <v>0</v>
      </c>
    </row>
    <row r="34" spans="1:4" ht="50" customHeight="1" x14ac:dyDescent="0.2">
      <c r="A34" s="63"/>
      <c r="B34" s="27" t="s">
        <v>58</v>
      </c>
      <c r="C34" s="26">
        <f ca="1">IFERROR(
   COUNTIF(INDIRECT("'" &amp; LOOKUP("zzz",$A$7:A34) &amp; "'!C:C"), B34),
   0
)</f>
        <v>0</v>
      </c>
      <c r="D34" s="87">
        <f t="array" aca="1" ref="D34" ca="1">IFERROR(
  COUNTIFS(
    INDIRECT("'" &amp; LOOKUP(2,1/($A$7:A34&lt;&gt;""),$A$7:A34) &amp; "'!C:C"), $B34,
    INDIRECT("'" &amp; LOOKUP(2,1/($A$7:A34&lt;&gt;""),$A$7:A34) &amp; "'!E:E"), "&gt;=" &amp; ($B$3-6),
    INDIRECT("'" &amp; LOOKUP(2,1/($A$7:A34&lt;&gt;""),$A$7:A34) &amp; "'!E:E"), "&lt;=" &amp; $B$3
  ),
0)</f>
        <v>0</v>
      </c>
    </row>
    <row r="35" spans="1:4" ht="50" customHeight="1" x14ac:dyDescent="0.2">
      <c r="A35" s="57" t="s">
        <v>12</v>
      </c>
      <c r="B35" s="29" t="s">
        <v>59</v>
      </c>
      <c r="C35" s="24">
        <f ca="1">IFERROR(
   COUNTIF(INDIRECT("'" &amp; LOOKUP("zzz",$A$7:A35) &amp; "'!C:C"), B35),
   0
)</f>
        <v>0</v>
      </c>
      <c r="D35" s="88">
        <f t="array" aca="1" ref="D35" ca="1">IFERROR(
  COUNTIFS(
    INDIRECT("'" &amp; LOOKUP(2,1/($A$7:A35&lt;&gt;""),$A$7:A35) &amp; "'!C:C"), $B35,
    INDIRECT("'" &amp; LOOKUP(2,1/($A$7:A35&lt;&gt;""),$A$7:A35) &amp; "'!E:E"), "&gt;=" &amp; ($B$3-6),
    INDIRECT("'" &amp; LOOKUP(2,1/($A$7:A35&lt;&gt;""),$A$7:A35) &amp; "'!E:E"), "&lt;=" &amp; $B$3
  ),
0)</f>
        <v>0</v>
      </c>
    </row>
    <row r="36" spans="1:4" ht="50" customHeight="1" x14ac:dyDescent="0.2">
      <c r="A36" s="28"/>
      <c r="B36" s="29" t="s">
        <v>60</v>
      </c>
      <c r="C36" s="24">
        <f ca="1">IFERROR(
   COUNTIF(INDIRECT("'" &amp; LOOKUP("zzz",$A$7:A36) &amp; "'!C:C"), B36),
   0
)</f>
        <v>0</v>
      </c>
      <c r="D36" s="73">
        <f t="array" aca="1" ref="D36" ca="1">IFERROR(
  COUNTIFS(
    INDIRECT("'" &amp; LOOKUP(2,1/($A$7:A36&lt;&gt;""),$A$7:A36) &amp; "'!C:C"), $B36,
    INDIRECT("'" &amp; LOOKUP(2,1/($A$7:A36&lt;&gt;""),$A$7:A36) &amp; "'!E:E"), "&gt;=" &amp; ($B$3-6),
    INDIRECT("'" &amp; LOOKUP(2,1/($A$7:A36&lt;&gt;""),$A$7:A36) &amp; "'!E:E"), "&lt;=" &amp; $B$3
  ),
0)</f>
        <v>0</v>
      </c>
    </row>
    <row r="37" spans="1:4" ht="50" customHeight="1" x14ac:dyDescent="0.2">
      <c r="A37" s="28"/>
      <c r="B37" s="29" t="s">
        <v>61</v>
      </c>
      <c r="C37" s="24">
        <f ca="1">IFERROR(
   COUNTIF(INDIRECT("'" &amp; LOOKUP("zzz",$A$7:A37) &amp; "'!C:C"), B37),
   0
)</f>
        <v>0</v>
      </c>
      <c r="D37" s="73">
        <f t="array" aca="1" ref="D37" ca="1">IFERROR(
  COUNTIFS(
    INDIRECT("'" &amp; LOOKUP(2,1/($A$7:A37&lt;&gt;""),$A$7:A37) &amp; "'!C:C"), $B37,
    INDIRECT("'" &amp; LOOKUP(2,1/($A$7:A37&lt;&gt;""),$A$7:A37) &amp; "'!E:E"), "&gt;=" &amp; ($B$3-6),
    INDIRECT("'" &amp; LOOKUP(2,1/($A$7:A37&lt;&gt;""),$A$7:A37) &amp; "'!E:E"), "&lt;=" &amp; $B$3
  ),
0)</f>
        <v>0</v>
      </c>
    </row>
    <row r="38" spans="1:4" ht="50" customHeight="1" x14ac:dyDescent="0.2">
      <c r="A38" s="28"/>
      <c r="B38" s="29" t="s">
        <v>62</v>
      </c>
      <c r="C38" s="24">
        <f ca="1">IFERROR(
   COUNTIF(INDIRECT("'" &amp; LOOKUP("zzz",$A$7:A38) &amp; "'!C:C"), B38),
   0
)</f>
        <v>0</v>
      </c>
      <c r="D38" s="73">
        <f t="array" aca="1" ref="D38" ca="1">IFERROR(
  COUNTIFS(
    INDIRECT("'" &amp; LOOKUP(2,1/($A$7:A38&lt;&gt;""),$A$7:A38) &amp; "'!C:C"), $B38,
    INDIRECT("'" &amp; LOOKUP(2,1/($A$7:A38&lt;&gt;""),$A$7:A38) &amp; "'!E:E"), "&gt;=" &amp; ($B$3-6),
    INDIRECT("'" &amp; LOOKUP(2,1/($A$7:A38&lt;&gt;""),$A$7:A38) &amp; "'!E:E"), "&lt;=" &amp; $B$3
  ),
0)</f>
        <v>0</v>
      </c>
    </row>
    <row r="39" spans="1:4" ht="50" customHeight="1" x14ac:dyDescent="0.2">
      <c r="A39" s="28"/>
      <c r="B39" s="29" t="s">
        <v>63</v>
      </c>
      <c r="C39" s="24">
        <f ca="1">IFERROR(
   COUNTIF(INDIRECT("'" &amp; LOOKUP("zzz",$A$7:A39) &amp; "'!C:C"), B39),
   0
)</f>
        <v>0</v>
      </c>
      <c r="D39" s="73">
        <f t="array" aca="1" ref="D39" ca="1">IFERROR(
  COUNTIFS(
    INDIRECT("'" &amp; LOOKUP(2,1/($A$7:A39&lt;&gt;""),$A$7:A39) &amp; "'!C:C"), $B39,
    INDIRECT("'" &amp; LOOKUP(2,1/($A$7:A39&lt;&gt;""),$A$7:A39) &amp; "'!E:E"), "&gt;=" &amp; ($B$3-6),
    INDIRECT("'" &amp; LOOKUP(2,1/($A$7:A39&lt;&gt;""),$A$7:A39) &amp; "'!E:E"), "&lt;=" &amp; $B$3
  ),
0)</f>
        <v>0</v>
      </c>
    </row>
    <row r="40" spans="1:4" ht="50" customHeight="1" x14ac:dyDescent="0.2">
      <c r="A40" s="28"/>
      <c r="B40" s="29" t="s">
        <v>64</v>
      </c>
      <c r="C40" s="24">
        <f ca="1">IFERROR(
   COUNTIF(INDIRECT("'" &amp; LOOKUP("zzz",$A$7:A40) &amp; "'!C:C"), B40),
   0
)</f>
        <v>0</v>
      </c>
      <c r="D40" s="73">
        <f t="array" aca="1" ref="D40" ca="1">IFERROR(
  COUNTIFS(
    INDIRECT("'" &amp; LOOKUP(2,1/($A$7:A40&lt;&gt;""),$A$7:A40) &amp; "'!C:C"), $B40,
    INDIRECT("'" &amp; LOOKUP(2,1/($A$7:A40&lt;&gt;""),$A$7:A40) &amp; "'!E:E"), "&gt;=" &amp; ($B$3-6),
    INDIRECT("'" &amp; LOOKUP(2,1/($A$7:A40&lt;&gt;""),$A$7:A40) &amp; "'!E:E"), "&lt;=" &amp; $B$3
  ),
0)</f>
        <v>0</v>
      </c>
    </row>
    <row r="41" spans="1:4" ht="50" customHeight="1" x14ac:dyDescent="0.2">
      <c r="A41" s="28"/>
      <c r="B41" s="29" t="s">
        <v>65</v>
      </c>
      <c r="C41" s="24">
        <f ca="1">IFERROR(
   COUNTIF(INDIRECT("'" &amp; LOOKUP("zzz",$A$7:A41) &amp; "'!C:C"), B41),
   0
)</f>
        <v>0</v>
      </c>
      <c r="D41" s="73">
        <f t="array" aca="1" ref="D41" ca="1">IFERROR(
  COUNTIFS(
    INDIRECT("'" &amp; LOOKUP(2,1/($A$7:A41&lt;&gt;""),$A$7:A41) &amp; "'!C:C"), $B41,
    INDIRECT("'" &amp; LOOKUP(2,1/($A$7:A41&lt;&gt;""),$A$7:A41) &amp; "'!E:E"), "&gt;=" &amp; ($B$3-6),
    INDIRECT("'" &amp; LOOKUP(2,1/($A$7:A41&lt;&gt;""),$A$7:A41) &amp; "'!E:E"), "&lt;=" &amp; $B$3
  ),
0)</f>
        <v>0</v>
      </c>
    </row>
    <row r="42" spans="1:4" ht="50" customHeight="1" x14ac:dyDescent="0.2">
      <c r="A42" s="38"/>
      <c r="B42" s="43" t="s">
        <v>66</v>
      </c>
      <c r="C42" s="24">
        <f ca="1">IFERROR(
   COUNTIF(INDIRECT("'" &amp; LOOKUP("zzz",$A$7:A42) &amp; "'!C:C"), B42),
   0
)</f>
        <v>0</v>
      </c>
      <c r="D42" s="73">
        <f t="array" aca="1" ref="D42" ca="1">IFERROR(
  COUNTIFS(
    INDIRECT("'" &amp; LOOKUP(2,1/($A$7:A42&lt;&gt;""),$A$7:A42) &amp; "'!C:C"), $B42,
    INDIRECT("'" &amp; LOOKUP(2,1/($A$7:A42&lt;&gt;""),$A$7:A42) &amp; "'!E:E"), "&gt;=" &amp; ($B$3-6),
    INDIRECT("'" &amp; LOOKUP(2,1/($A$7:A42&lt;&gt;""),$A$7:A42) &amp; "'!E:E"), "&lt;=" &amp; $B$3
  ),
0)</f>
        <v>0</v>
      </c>
    </row>
    <row r="43" spans="1:4" ht="50" customHeight="1" x14ac:dyDescent="0.2">
      <c r="A43" s="38"/>
      <c r="B43" s="43" t="s">
        <v>67</v>
      </c>
      <c r="C43" s="24">
        <f ca="1">IFERROR(
   COUNTIF(INDIRECT("'" &amp; LOOKUP("zzz",$A$7:A43) &amp; "'!C:C"), B43),
   0
)</f>
        <v>0</v>
      </c>
      <c r="D43" s="73">
        <f t="array" aca="1" ref="D43" ca="1">IFERROR(
  COUNTIFS(
    INDIRECT("'" &amp; LOOKUP(2,1/($A$7:A43&lt;&gt;""),$A$7:A43) &amp; "'!C:C"), $B43,
    INDIRECT("'" &amp; LOOKUP(2,1/($A$7:A43&lt;&gt;""),$A$7:A43) &amp; "'!E:E"), "&gt;=" &amp; ($B$3-6),
    INDIRECT("'" &amp; LOOKUP(2,1/($A$7:A43&lt;&gt;""),$A$7:A43) &amp; "'!E:E"), "&lt;=" &amp; $B$3
  ),
0)</f>
        <v>0</v>
      </c>
    </row>
    <row r="44" spans="1:4" ht="50" customHeight="1" x14ac:dyDescent="0.2">
      <c r="A44" s="38"/>
      <c r="B44" s="43" t="s">
        <v>68</v>
      </c>
      <c r="C44" s="26">
        <f ca="1">IFERROR(
   COUNTIF(INDIRECT("'" &amp; LOOKUP("zzz",$A$7:A44) &amp; "'!C:C"), B44),
   0
)</f>
        <v>0</v>
      </c>
      <c r="D44" s="87">
        <f t="array" aca="1" ref="D44" ca="1">IFERROR(
  COUNTIFS(
    INDIRECT("'" &amp; LOOKUP(2,1/($A$7:A44&lt;&gt;""),$A$7:A44) &amp; "'!C:C"), $B44,
    INDIRECT("'" &amp; LOOKUP(2,1/($A$7:A44&lt;&gt;""),$A$7:A44) &amp; "'!E:E"), "&gt;=" &amp; ($B$3-6),
    INDIRECT("'" &amp; LOOKUP(2,1/($A$7:A44&lt;&gt;""),$A$7:A44) &amp; "'!E:E"), "&lt;=" &amp; $B$3
  ),
0)</f>
        <v>0</v>
      </c>
    </row>
    <row r="45" spans="1:4" ht="50" customHeight="1" x14ac:dyDescent="0.2">
      <c r="A45" s="69" t="s">
        <v>13</v>
      </c>
      <c r="B45" s="46" t="s">
        <v>69</v>
      </c>
      <c r="C45" s="47">
        <f ca="1">IFERROR(
   COUNTIF(INDIRECT("'" &amp; LOOKUP("zzz",$A$7:A45) &amp; "'!C:C"), B45),
   0
)</f>
        <v>0</v>
      </c>
      <c r="D45" s="88">
        <f t="array" aca="1" ref="D45" ca="1">IFERROR(
  COUNTIFS(
    INDIRECT("'" &amp; LOOKUP(2,1/($A$7:A45&lt;&gt;""),$A$7:A45) &amp; "'!C:C"), $B45,
    INDIRECT("'" &amp; LOOKUP(2,1/($A$7:A45&lt;&gt;""),$A$7:A45) &amp; "'!E:E"), "&gt;=" &amp; ($B$3-6),
    INDIRECT("'" &amp; LOOKUP(2,1/($A$7:A45&lt;&gt;""),$A$7:A45) &amp; "'!E:E"), "&lt;=" &amp; $B$3
  ),
0)</f>
        <v>0</v>
      </c>
    </row>
    <row r="46" spans="1:4" ht="50" customHeight="1" x14ac:dyDescent="0.2">
      <c r="A46" s="70"/>
      <c r="B46" s="25" t="s">
        <v>70</v>
      </c>
      <c r="C46" s="28">
        <f ca="1">IFERROR(
   COUNTIF(INDIRECT("'" &amp; LOOKUP("zzz",$A$7:A46) &amp; "'!C:C"), B46),
   0
)</f>
        <v>0</v>
      </c>
      <c r="D46" s="73">
        <f t="array" aca="1" ref="D46" ca="1">IFERROR(
  COUNTIFS(
    INDIRECT("'" &amp; LOOKUP(2,1/($A$7:A46&lt;&gt;""),$A$7:A46) &amp; "'!C:C"), $B46,
    INDIRECT("'" &amp; LOOKUP(2,1/($A$7:A46&lt;&gt;""),$A$7:A46) &amp; "'!E:E"), "&gt;=" &amp; ($B$3-6),
    INDIRECT("'" &amp; LOOKUP(2,1/($A$7:A46&lt;&gt;""),$A$7:A46) &amp; "'!E:E"), "&lt;=" &amp; $B$3
  ),
0)</f>
        <v>0</v>
      </c>
    </row>
    <row r="47" spans="1:4" ht="50" customHeight="1" x14ac:dyDescent="0.2">
      <c r="A47" s="70"/>
      <c r="B47" s="25" t="s">
        <v>71</v>
      </c>
      <c r="C47" s="28">
        <f ca="1">IFERROR(
   COUNTIF(INDIRECT("'" &amp; LOOKUP("zzz",$A$7:A47) &amp; "'!C:C"), B47),
   0
)</f>
        <v>0</v>
      </c>
      <c r="D47" s="73">
        <f t="array" aca="1" ref="D47" ca="1">IFERROR(
  COUNTIFS(
    INDIRECT("'" &amp; LOOKUP(2,1/($A$7:A47&lt;&gt;""),$A$7:A47) &amp; "'!C:C"), $B47,
    INDIRECT("'" &amp; LOOKUP(2,1/($A$7:A47&lt;&gt;""),$A$7:A47) &amp; "'!E:E"), "&gt;=" &amp; ($B$3-6),
    INDIRECT("'" &amp; LOOKUP(2,1/($A$7:A47&lt;&gt;""),$A$7:A47) &amp; "'!E:E"), "&lt;=" &amp; $B$3
  ),
0)</f>
        <v>0</v>
      </c>
    </row>
    <row r="48" spans="1:4" ht="50" customHeight="1" x14ac:dyDescent="0.2">
      <c r="A48" s="70"/>
      <c r="B48" s="25" t="s">
        <v>72</v>
      </c>
      <c r="C48" s="28">
        <f ca="1">IFERROR(
   COUNTIF(INDIRECT("'" &amp; LOOKUP("zzz",$A$7:A48) &amp; "'!C:C"), B48),
   0
)</f>
        <v>0</v>
      </c>
      <c r="D48" s="73">
        <f t="array" aca="1" ref="D48" ca="1">IFERROR(
  COUNTIFS(
    INDIRECT("'" &amp; LOOKUP(2,1/($A$7:A48&lt;&gt;""),$A$7:A48) &amp; "'!C:C"), $B48,
    INDIRECT("'" &amp; LOOKUP(2,1/($A$7:A48&lt;&gt;""),$A$7:A48) &amp; "'!E:E"), "&gt;=" &amp; ($B$3-6),
    INDIRECT("'" &amp; LOOKUP(2,1/($A$7:A48&lt;&gt;""),$A$7:A48) &amp; "'!E:E"), "&lt;=" &amp; $B$3
  ),
0)</f>
        <v>0</v>
      </c>
    </row>
    <row r="49" spans="1:4" ht="50" customHeight="1" x14ac:dyDescent="0.2">
      <c r="A49" s="70"/>
      <c r="B49" s="25" t="s">
        <v>73</v>
      </c>
      <c r="C49" s="28">
        <f ca="1">IFERROR(
   COUNTIF(INDIRECT("'" &amp; LOOKUP("zzz",$A$7:A49) &amp; "'!C:C"), B49),
   0
)</f>
        <v>0</v>
      </c>
      <c r="D49" s="73">
        <f t="array" aca="1" ref="D49" ca="1">IFERROR(
  COUNTIFS(
    INDIRECT("'" &amp; LOOKUP(2,1/($A$7:A49&lt;&gt;""),$A$7:A49) &amp; "'!C:C"), $B49,
    INDIRECT("'" &amp; LOOKUP(2,1/($A$7:A49&lt;&gt;""),$A$7:A49) &amp; "'!E:E"), "&gt;=" &amp; ($B$3-6),
    INDIRECT("'" &amp; LOOKUP(2,1/($A$7:A49&lt;&gt;""),$A$7:A49) &amp; "'!E:E"), "&lt;=" &amp; $B$3
  ),
0)</f>
        <v>0</v>
      </c>
    </row>
    <row r="50" spans="1:4" ht="50" customHeight="1" x14ac:dyDescent="0.2">
      <c r="A50" s="28"/>
      <c r="B50" s="29" t="s">
        <v>74</v>
      </c>
      <c r="C50" s="28">
        <f ca="1">IFERROR(
   COUNTIF(INDIRECT("'" &amp; LOOKUP("zzz",$A$7:A50) &amp; "'!C:C"), B50),
   0
)</f>
        <v>0</v>
      </c>
      <c r="D50" s="73">
        <f t="array" aca="1" ref="D50" ca="1">IFERROR(
  COUNTIFS(
    INDIRECT("'" &amp; LOOKUP(2,1/($A$7:A50&lt;&gt;""),$A$7:A50) &amp; "'!C:C"), $B50,
    INDIRECT("'" &amp; LOOKUP(2,1/($A$7:A50&lt;&gt;""),$A$7:A50) &amp; "'!E:E"), "&gt;=" &amp; ($B$3-6),
    INDIRECT("'" &amp; LOOKUP(2,1/($A$7:A50&lt;&gt;""),$A$7:A50) &amp; "'!E:E"), "&lt;=" &amp; $B$3
  ),
0)</f>
        <v>0</v>
      </c>
    </row>
    <row r="51" spans="1:4" ht="50" customHeight="1" x14ac:dyDescent="0.2">
      <c r="A51" s="28"/>
      <c r="B51" s="29" t="s">
        <v>75</v>
      </c>
      <c r="C51" s="28">
        <f ca="1">IFERROR(
   COUNTIF(INDIRECT("'" &amp; LOOKUP("zzz",$A$7:A51) &amp; "'!C:C"), B51),
   0
)</f>
        <v>0</v>
      </c>
      <c r="D51" s="73">
        <f t="array" aca="1" ref="D51" ca="1">IFERROR(
  COUNTIFS(
    INDIRECT("'" &amp; LOOKUP(2,1/($A$7:A51&lt;&gt;""),$A$7:A51) &amp; "'!C:C"), $B51,
    INDIRECT("'" &amp; LOOKUP(2,1/($A$7:A51&lt;&gt;""),$A$7:A51) &amp; "'!E:E"), "&gt;=" &amp; ($B$3-6),
    INDIRECT("'" &amp; LOOKUP(2,1/($A$7:A51&lt;&gt;""),$A$7:A51) &amp; "'!E:E"), "&lt;=" &amp; $B$3
  ),
0)</f>
        <v>0</v>
      </c>
    </row>
    <row r="52" spans="1:4" ht="50" customHeight="1" x14ac:dyDescent="0.2">
      <c r="A52" s="28"/>
      <c r="B52" s="29" t="s">
        <v>76</v>
      </c>
      <c r="C52" s="28">
        <f ca="1">IFERROR(
   COUNTIF(INDIRECT("'" &amp; LOOKUP("zzz",$A$7:A52) &amp; "'!C:C"), B52),
   0
)</f>
        <v>0</v>
      </c>
      <c r="D52" s="73">
        <f t="array" aca="1" ref="D52" ca="1">IFERROR(
  COUNTIFS(
    INDIRECT("'" &amp; LOOKUP(2,1/($A$7:A52&lt;&gt;""),$A$7:A52) &amp; "'!C:C"), $B52,
    INDIRECT("'" &amp; LOOKUP(2,1/($A$7:A52&lt;&gt;""),$A$7:A52) &amp; "'!E:E"), "&gt;=" &amp; ($B$3-6),
    INDIRECT("'" &amp; LOOKUP(2,1/($A$7:A52&lt;&gt;""),$A$7:A52) &amp; "'!E:E"), "&lt;=" &amp; $B$3
  ),
0)</f>
        <v>0</v>
      </c>
    </row>
    <row r="53" spans="1:4" ht="50" customHeight="1" x14ac:dyDescent="0.2">
      <c r="A53" s="80"/>
      <c r="B53" s="75" t="s">
        <v>77</v>
      </c>
      <c r="C53" s="26">
        <f ca="1">IFERROR(
   COUNTIF(INDIRECT("'" &amp; LOOKUP("zzz",$A$7:A53) &amp; "'!C:C"), B53),
   0
)</f>
        <v>0</v>
      </c>
      <c r="D53" s="87">
        <f t="array" aca="1" ref="D53" ca="1">IFERROR(
  COUNTIFS(
    INDIRECT("'" &amp; LOOKUP(2,1/($A$7:A53&lt;&gt;""),$A$7:A53) &amp; "'!C:C"), $B53,
    INDIRECT("'" &amp; LOOKUP(2,1/($A$7:A53&lt;&gt;""),$A$7:A53) &amp; "'!E:E"), "&gt;=" &amp; ($B$3-6),
    INDIRECT("'" &amp; LOOKUP(2,1/($A$7:A53&lt;&gt;""),$A$7:A53) &amp; "'!E:E"), "&lt;=" &amp; $B$3
  ),
0)</f>
        <v>0</v>
      </c>
    </row>
    <row r="54" spans="1:4" ht="50" customHeight="1" x14ac:dyDescent="0.2">
      <c r="A54" s="84" t="s">
        <v>14</v>
      </c>
      <c r="B54" s="83" t="s">
        <v>78</v>
      </c>
      <c r="C54" s="82">
        <f ca="1">IFERROR(
   COUNTIF(INDIRECT("'" &amp; LOOKUP("zzz",$A$7:A54) &amp; "'!C:C"), B54),
   0
)</f>
        <v>0</v>
      </c>
      <c r="D54" s="88">
        <f t="array" aca="1" ref="D54" ca="1">IFERROR(
  COUNTIFS(
    INDIRECT("'" &amp; LOOKUP(2,1/($A$7:A54&lt;&gt;""),$A$7:A54) &amp; "'!C:C"), $B54,
    INDIRECT("'" &amp; LOOKUP(2,1/($A$7:A54&lt;&gt;""),$A$7:A54) &amp; "'!E:E"), "&gt;=" &amp; ($B$3-6),
    INDIRECT("'" &amp; LOOKUP(2,1/($A$7:A54&lt;&gt;""),$A$7:A54) &amp; "'!E:E"), "&lt;=" &amp; $B$3
  ),
0)</f>
        <v>0</v>
      </c>
    </row>
    <row r="55" spans="1:4" ht="50" customHeight="1" x14ac:dyDescent="0.2">
      <c r="A55" s="31"/>
      <c r="B55" s="29" t="s">
        <v>79</v>
      </c>
      <c r="C55" s="28">
        <f ca="1">IFERROR(
   COUNTIF(INDIRECT("'" &amp; LOOKUP("zzz",$A$7:A55) &amp; "'!C:C"), B55),
   0
)</f>
        <v>0</v>
      </c>
      <c r="D55" s="73">
        <f t="array" aca="1" ref="D55" ca="1">IFERROR(
  COUNTIFS(
    INDIRECT("'" &amp; LOOKUP(2,1/($A$7:A55&lt;&gt;""),$A$7:A55) &amp; "'!C:C"), $B55,
    INDIRECT("'" &amp; LOOKUP(2,1/($A$7:A55&lt;&gt;""),$A$7:A55) &amp; "'!E:E"), "&gt;=" &amp; ($B$3-6),
    INDIRECT("'" &amp; LOOKUP(2,1/($A$7:A55&lt;&gt;""),$A$7:A55) &amp; "'!E:E"), "&lt;=" &amp; $B$3
  ),
0)</f>
        <v>0</v>
      </c>
    </row>
    <row r="56" spans="1:4" ht="50" customHeight="1" x14ac:dyDescent="0.2">
      <c r="A56" s="73"/>
      <c r="B56" s="29" t="s">
        <v>80</v>
      </c>
      <c r="C56" s="28">
        <f ca="1">IFERROR(
   COUNTIF(INDIRECT("'" &amp; LOOKUP("zzz",$A$7:A56) &amp; "'!C:C"), B56),
   0
)</f>
        <v>0</v>
      </c>
      <c r="D56" s="73">
        <f t="array" aca="1" ref="D56" ca="1">IFERROR(
  COUNTIFS(
    INDIRECT("'" &amp; LOOKUP(2,1/($A$7:A56&lt;&gt;""),$A$7:A56) &amp; "'!C:C"), $B56,
    INDIRECT("'" &amp; LOOKUP(2,1/($A$7:A56&lt;&gt;""),$A$7:A56) &amp; "'!E:E"), "&gt;=" &amp; ($B$3-6),
    INDIRECT("'" &amp; LOOKUP(2,1/($A$7:A56&lt;&gt;""),$A$7:A56) &amp; "'!E:E"), "&lt;=" &amp; $B$3
  ),
0)</f>
        <v>0</v>
      </c>
    </row>
    <row r="57" spans="1:4" s="14" customFormat="1" ht="50" customHeight="1" x14ac:dyDescent="0.2">
      <c r="A57" s="28"/>
      <c r="B57" s="29" t="s">
        <v>81</v>
      </c>
      <c r="C57" s="28">
        <f ca="1">IFERROR(
   COUNTIF(INDIRECT("'" &amp; LOOKUP("zzz",$A$7:A57) &amp; "'!C:C"), B57),
   0
)</f>
        <v>0</v>
      </c>
      <c r="D57" s="73">
        <f t="array" aca="1" ref="D57" ca="1">IFERROR(
  COUNTIFS(
    INDIRECT("'" &amp; LOOKUP(2,1/($A$7:A57&lt;&gt;""),$A$7:A57) &amp; "'!C:C"), $B57,
    INDIRECT("'" &amp; LOOKUP(2,1/($A$7:A57&lt;&gt;""),$A$7:A57) &amp; "'!E:E"), "&gt;=" &amp; ($B$3-6),
    INDIRECT("'" &amp; LOOKUP(2,1/($A$7:A57&lt;&gt;""),$A$7:A57) &amp; "'!E:E"), "&lt;=" &amp; $B$3
  ),
0)</f>
        <v>0</v>
      </c>
    </row>
    <row r="58" spans="1:4" ht="50" customHeight="1" x14ac:dyDescent="0.2">
      <c r="A58" s="28"/>
      <c r="B58" s="29" t="s">
        <v>82</v>
      </c>
      <c r="C58" s="28">
        <f ca="1">IFERROR(
   COUNTIF(INDIRECT("'" &amp; LOOKUP("zzz",$A$7:A58) &amp; "'!C:C"), B58),
   0
)</f>
        <v>0</v>
      </c>
      <c r="D58" s="73">
        <f t="array" aca="1" ref="D58" ca="1">IFERROR(
  COUNTIFS(
    INDIRECT("'" &amp; LOOKUP(2,1/($A$7:A58&lt;&gt;""),$A$7:A58) &amp; "'!C:C"), $B58,
    INDIRECT("'" &amp; LOOKUP(2,1/($A$7:A58&lt;&gt;""),$A$7:A58) &amp; "'!E:E"), "&gt;=" &amp; ($B$3-6),
    INDIRECT("'" &amp; LOOKUP(2,1/($A$7:A58&lt;&gt;""),$A$7:A58) &amp; "'!E:E"), "&lt;=" &amp; $B$3
  ),
0)</f>
        <v>0</v>
      </c>
    </row>
    <row r="59" spans="1:4" ht="50" customHeight="1" x14ac:dyDescent="0.2">
      <c r="A59" s="80"/>
      <c r="B59" s="75" t="s">
        <v>83</v>
      </c>
      <c r="C59" s="80">
        <f ca="1">IFERROR(
   COUNTIF(INDIRECT("'" &amp; LOOKUP("zzz",$A$7:A59) &amp; "'!C:C"), B59),
   0
)</f>
        <v>0</v>
      </c>
      <c r="D59" s="110">
        <f t="array" aca="1" ref="D59" ca="1">IFERROR(
  COUNTIFS(
    INDIRECT("'" &amp; LOOKUP(2,1/($A$7:A59&lt;&gt;""),$A$7:A59) &amp; "'!C:C"), $B59,
    INDIRECT("'" &amp; LOOKUP(2,1/($A$7:A59&lt;&gt;""),$A$7:A59) &amp; "'!E:E"), "&gt;=" &amp; ($B$3-6),
    INDIRECT("'" &amp; LOOKUP(2,1/($A$7:A59&lt;&gt;""),$A$7:A59) &amp; "'!E:E"), "&lt;=" &amp; $B$3
  ),
0)</f>
        <v>0</v>
      </c>
    </row>
    <row r="60" spans="1:4" ht="50" customHeight="1" x14ac:dyDescent="0.2">
      <c r="A60" s="57" t="s">
        <v>15</v>
      </c>
      <c r="B60" s="25" t="s">
        <v>84</v>
      </c>
      <c r="C60" s="24">
        <f ca="1">IFERROR(
   COUNTIF(INDIRECT("'" &amp; LOOKUP("zzz",$A$7:A60) &amp; "'!C:C"), B60),
   0
)</f>
        <v>0</v>
      </c>
      <c r="D60" s="109">
        <f t="array" aca="1" ref="D60" ca="1">IFERROR(
  COUNTIFS(
    INDIRECT("'" &amp; LOOKUP(2,1/($A$7:A60&lt;&gt;""),$A$7:A60) &amp; "'!C:C"), $B60,
    INDIRECT("'" &amp; LOOKUP(2,1/($A$7:A60&lt;&gt;""),$A$7:A60) &amp; "'!E:E"), "&gt;=" &amp; ($B$3-6),
    INDIRECT("'" &amp; LOOKUP(2,1/($A$7:A60&lt;&gt;""),$A$7:A60) &amp; "'!E:E"), "&lt;=" &amp; $B$3
  ),
0)</f>
        <v>0</v>
      </c>
    </row>
    <row r="61" spans="1:4" ht="50" customHeight="1" x14ac:dyDescent="0.2">
      <c r="A61" s="57"/>
      <c r="B61" s="29" t="s">
        <v>85</v>
      </c>
      <c r="C61" s="28">
        <f ca="1">IFERROR(
   COUNTIF(INDIRECT("'" &amp; LOOKUP("zzz",$A$7:A61) &amp; "'!C:C"), B61),
   0
)</f>
        <v>0</v>
      </c>
      <c r="D61" s="73">
        <f t="array" aca="1" ref="D61" ca="1">IFERROR(
  COUNTIFS(
    INDIRECT("'" &amp; LOOKUP(2,1/($A$7:A61&lt;&gt;""),$A$7:A61) &amp; "'!C:C"), $B61,
    INDIRECT("'" &amp; LOOKUP(2,1/($A$7:A61&lt;&gt;""),$A$7:A61) &amp; "'!E:E"), "&gt;=" &amp; ($B$3-6),
    INDIRECT("'" &amp; LOOKUP(2,1/($A$7:A61&lt;&gt;""),$A$7:A61) &amp; "'!E:E"), "&lt;=" &amp; $B$3
  ),
0)</f>
        <v>0</v>
      </c>
    </row>
    <row r="62" spans="1:4" ht="50" customHeight="1" x14ac:dyDescent="0.2">
      <c r="A62" s="57"/>
      <c r="B62" s="29" t="s">
        <v>86</v>
      </c>
      <c r="C62" s="28">
        <f ca="1">IFERROR(
   COUNTIF(INDIRECT("'" &amp; LOOKUP("zzz",$A$7:A62) &amp; "'!C:C"), B62),
   0
)</f>
        <v>0</v>
      </c>
      <c r="D62" s="73">
        <f t="array" aca="1" ref="D62" ca="1">IFERROR(
  COUNTIFS(
    INDIRECT("'" &amp; LOOKUP(2,1/($A$7:A62&lt;&gt;""),$A$7:A62) &amp; "'!C:C"), $B62,
    INDIRECT("'" &amp; LOOKUP(2,1/($A$7:A62&lt;&gt;""),$A$7:A62) &amp; "'!E:E"), "&gt;=" &amp; ($B$3-6),
    INDIRECT("'" &amp; LOOKUP(2,1/($A$7:A62&lt;&gt;""),$A$7:A62) &amp; "'!E:E"), "&lt;=" &amp; $B$3
  ),
0)</f>
        <v>0</v>
      </c>
    </row>
    <row r="63" spans="1:4" ht="50" customHeight="1" x14ac:dyDescent="0.2">
      <c r="A63" s="57"/>
      <c r="B63" s="29" t="s">
        <v>87</v>
      </c>
      <c r="C63" s="28">
        <f ca="1">IFERROR(
   COUNTIF(INDIRECT("'" &amp; LOOKUP("zzz",$A$7:A63) &amp; "'!C:C"), B63),
   0
)</f>
        <v>0</v>
      </c>
      <c r="D63" s="73">
        <f t="array" aca="1" ref="D63" ca="1">IFERROR(
  COUNTIFS(
    INDIRECT("'" &amp; LOOKUP(2,1/($A$7:A63&lt;&gt;""),$A$7:A63) &amp; "'!C:C"), $B63,
    INDIRECT("'" &amp; LOOKUP(2,1/($A$7:A63&lt;&gt;""),$A$7:A63) &amp; "'!E:E"), "&gt;=" &amp; ($B$3-6),
    INDIRECT("'" &amp; LOOKUP(2,1/($A$7:A63&lt;&gt;""),$A$7:A63) &amp; "'!E:E"), "&lt;=" &amp; $B$3
  ),
0)</f>
        <v>0</v>
      </c>
    </row>
    <row r="64" spans="1:4" ht="50" customHeight="1" x14ac:dyDescent="0.2">
      <c r="A64" s="57"/>
      <c r="B64" s="29" t="s">
        <v>88</v>
      </c>
      <c r="C64" s="28">
        <f ca="1">IFERROR(
   COUNTIF(INDIRECT("'" &amp; LOOKUP("zzz",$A$7:A64) &amp; "'!C:C"), B64),
   0
)</f>
        <v>0</v>
      </c>
      <c r="D64" s="73">
        <f t="array" aca="1" ref="D64" ca="1">IFERROR(
  COUNTIFS(
    INDIRECT("'" &amp; LOOKUP(2,1/($A$7:A64&lt;&gt;""),$A$7:A64) &amp; "'!C:C"), $B64,
    INDIRECT("'" &amp; LOOKUP(2,1/($A$7:A64&lt;&gt;""),$A$7:A64) &amp; "'!E:E"), "&gt;=" &amp; ($B$3-6),
    INDIRECT("'" &amp; LOOKUP(2,1/($A$7:A64&lt;&gt;""),$A$7:A64) &amp; "'!E:E"), "&lt;=" &amp; $B$3
  ),
0)</f>
        <v>0</v>
      </c>
    </row>
    <row r="65" spans="1:4" ht="50" customHeight="1" x14ac:dyDescent="0.2">
      <c r="A65" s="31"/>
      <c r="B65" s="29" t="s">
        <v>89</v>
      </c>
      <c r="C65" s="28">
        <f ca="1">IFERROR(
   COUNTIF(INDIRECT("'" &amp; LOOKUP("zzz",$A$7:A65) &amp; "'!C:C"), B65),
   0
)</f>
        <v>0</v>
      </c>
      <c r="D65" s="73">
        <f t="array" aca="1" ref="D65" ca="1">IFERROR(
  COUNTIFS(
    INDIRECT("'" &amp; LOOKUP(2,1/($A$7:A65&lt;&gt;""),$A$7:A65) &amp; "'!C:C"), $B65,
    INDIRECT("'" &amp; LOOKUP(2,1/($A$7:A65&lt;&gt;""),$A$7:A65) &amp; "'!E:E"), "&gt;=" &amp; ($B$3-6),
    INDIRECT("'" &amp; LOOKUP(2,1/($A$7:A65&lt;&gt;""),$A$7:A65) &amp; "'!E:E"), "&lt;=" &amp; $B$3
  ),
0)</f>
        <v>0</v>
      </c>
    </row>
    <row r="66" spans="1:4" ht="50" customHeight="1" x14ac:dyDescent="0.2">
      <c r="A66" s="31"/>
      <c r="B66" s="29" t="s">
        <v>90</v>
      </c>
      <c r="C66" s="28">
        <f ca="1">IFERROR(
   COUNTIF(INDIRECT("'" &amp; LOOKUP("zzz",$A$7:A66) &amp; "'!C:C"), B66),
   0
)</f>
        <v>0</v>
      </c>
      <c r="D66" s="73">
        <f t="array" aca="1" ref="D66" ca="1">IFERROR(
  COUNTIFS(
    INDIRECT("'" &amp; LOOKUP(2,1/($A$7:A66&lt;&gt;""),$A$7:A66) &amp; "'!C:C"), $B66,
    INDIRECT("'" &amp; LOOKUP(2,1/($A$7:A66&lt;&gt;""),$A$7:A66) &amp; "'!E:E"), "&gt;=" &amp; ($B$3-6),
    INDIRECT("'" &amp; LOOKUP(2,1/($A$7:A66&lt;&gt;""),$A$7:A66) &amp; "'!E:E"), "&lt;=" &amp; $B$3
  ),
0)</f>
        <v>0</v>
      </c>
    </row>
    <row r="67" spans="1:4" ht="50" customHeight="1" x14ac:dyDescent="0.2">
      <c r="A67" s="65"/>
      <c r="B67" s="43" t="s">
        <v>91</v>
      </c>
      <c r="C67" s="28">
        <f ca="1">IFERROR(
   COUNTIF(INDIRECT("'" &amp; LOOKUP("zzz",$A$7:A67) &amp; "'!C:C"), B67),
   0
)</f>
        <v>0</v>
      </c>
      <c r="D67" s="73">
        <f t="array" aca="1" ref="D67" ca="1">IFERROR(
  COUNTIFS(
    INDIRECT("'" &amp; LOOKUP(2,1/($A$7:A67&lt;&gt;""),$A$7:A67) &amp; "'!C:C"), $B67,
    INDIRECT("'" &amp; LOOKUP(2,1/($A$7:A67&lt;&gt;""),$A$7:A67) &amp; "'!E:E"), "&gt;=" &amp; ($B$3-6),
    INDIRECT("'" &amp; LOOKUP(2,1/($A$7:A67&lt;&gt;""),$A$7:A67) &amp; "'!E:E"), "&lt;=" &amp; $B$3
  ),
0)</f>
        <v>0</v>
      </c>
    </row>
    <row r="68" spans="1:4" ht="50" customHeight="1" x14ac:dyDescent="0.2">
      <c r="A68" s="81"/>
      <c r="B68" s="75" t="s">
        <v>92</v>
      </c>
      <c r="C68" s="80">
        <f ca="1">IFERROR(
   COUNTIF(INDIRECT("'" &amp; LOOKUP("zzz",$A$7:A68) &amp; "'!C:C"), B68),
   0
)</f>
        <v>0</v>
      </c>
      <c r="D68" s="87">
        <f t="array" aca="1" ref="D68" ca="1">IFERROR(
  COUNTIFS(
    INDIRECT("'" &amp; LOOKUP(2,1/($A$7:A68&lt;&gt;""),$A$7:A68) &amp; "'!C:C"), $B68,
    INDIRECT("'" &amp; LOOKUP(2,1/($A$7:A68&lt;&gt;""),$A$7:A68) &amp; "'!E:E"), "&gt;=" &amp; ($B$3-6),
    INDIRECT("'" &amp; LOOKUP(2,1/($A$7:A68&lt;&gt;""),$A$7:A68) &amp; "'!E:E"), "&lt;=" &amp; $B$3
  ),
0)</f>
        <v>0</v>
      </c>
    </row>
    <row r="69" spans="1:4" ht="50" customHeight="1" x14ac:dyDescent="0.2">
      <c r="A69" s="57" t="s">
        <v>16</v>
      </c>
      <c r="B69" s="29" t="s">
        <v>93</v>
      </c>
      <c r="C69" s="28">
        <f ca="1">IFERROR(
   COUNTIF(INDIRECT("'" &amp; LOOKUP("zzz",$A$7:A69) &amp; "'!C:C"), B69),
   0
)</f>
        <v>0</v>
      </c>
      <c r="D69" s="88">
        <f t="array" aca="1" ref="D69" ca="1">IFERROR(
  COUNTIFS(
    INDIRECT("'" &amp; LOOKUP(2,1/($A$7:A69&lt;&gt;""),$A$7:A69) &amp; "'!C:C"), $B69,
    INDIRECT("'" &amp; LOOKUP(2,1/($A$7:A69&lt;&gt;""),$A$7:A69) &amp; "'!E:E"), "&gt;=" &amp; ($B$3-6),
    INDIRECT("'" &amp; LOOKUP(2,1/($A$7:A69&lt;&gt;""),$A$7:A69) &amp; "'!E:E"), "&lt;=" &amp; $B$3
  ),
0)</f>
        <v>0</v>
      </c>
    </row>
    <row r="70" spans="1:4" ht="50" customHeight="1" x14ac:dyDescent="0.2">
      <c r="A70" s="62"/>
      <c r="B70" s="29" t="s">
        <v>94</v>
      </c>
      <c r="C70" s="28">
        <f ca="1">IFERROR(
   COUNTIF(INDIRECT("'" &amp; LOOKUP("zzz",$A$7:A70) &amp; "'!C:C"), B70),
   0
)</f>
        <v>0</v>
      </c>
      <c r="D70" s="73">
        <f t="array" aca="1" ref="D70" ca="1">IFERROR(
  COUNTIFS(
    INDIRECT("'" &amp; LOOKUP(2,1/($A$7:A70&lt;&gt;""),$A$7:A70) &amp; "'!C:C"), $B70,
    INDIRECT("'" &amp; LOOKUP(2,1/($A$7:A70&lt;&gt;""),$A$7:A70) &amp; "'!E:E"), "&gt;=" &amp; ($B$3-6),
    INDIRECT("'" &amp; LOOKUP(2,1/($A$7:A70&lt;&gt;""),$A$7:A70) &amp; "'!E:E"), "&lt;=" &amp; $B$3
  ),
0)</f>
        <v>0</v>
      </c>
    </row>
    <row r="71" spans="1:4" ht="50" customHeight="1" x14ac:dyDescent="0.2">
      <c r="A71" s="62"/>
      <c r="B71" s="29" t="s">
        <v>95</v>
      </c>
      <c r="C71" s="28">
        <f ca="1">IFERROR(
   COUNTIF(INDIRECT("'" &amp; LOOKUP("zzz",$A$7:A71) &amp; "'!C:C"), B71),
   0
)</f>
        <v>0</v>
      </c>
      <c r="D71" s="73">
        <f t="array" aca="1" ref="D71" ca="1">IFERROR(
  COUNTIFS(
    INDIRECT("'" &amp; LOOKUP(2,1/($A$7:A71&lt;&gt;""),$A$7:A71) &amp; "'!C:C"), $B71,
    INDIRECT("'" &amp; LOOKUP(2,1/($A$7:A71&lt;&gt;""),$A$7:A71) &amp; "'!E:E"), "&gt;=" &amp; ($B$3-6),
    INDIRECT("'" &amp; LOOKUP(2,1/($A$7:A71&lt;&gt;""),$A$7:A71) &amp; "'!E:E"), "&lt;=" &amp; $B$3
  ),
0)</f>
        <v>0</v>
      </c>
    </row>
    <row r="72" spans="1:4" ht="50" customHeight="1" x14ac:dyDescent="0.2">
      <c r="A72" s="62"/>
      <c r="B72" s="29" t="s">
        <v>96</v>
      </c>
      <c r="C72" s="28">
        <f ca="1">IFERROR(
   COUNTIF(INDIRECT("'" &amp; LOOKUP("zzz",$A$7:A72) &amp; "'!C:C"), B72),
   0
)</f>
        <v>0</v>
      </c>
      <c r="D72" s="73">
        <f t="array" aca="1" ref="D72" ca="1">IFERROR(
  COUNTIFS(
    INDIRECT("'" &amp; LOOKUP(2,1/($A$7:A72&lt;&gt;""),$A$7:A72) &amp; "'!C:C"), $B72,
    INDIRECT("'" &amp; LOOKUP(2,1/($A$7:A72&lt;&gt;""),$A$7:A72) &amp; "'!E:E"), "&gt;=" &amp; ($B$3-6),
    INDIRECT("'" &amp; LOOKUP(2,1/($A$7:A72&lt;&gt;""),$A$7:A72) &amp; "'!E:E"), "&lt;=" &amp; $B$3
  ),
0)</f>
        <v>0</v>
      </c>
    </row>
    <row r="73" spans="1:4" ht="50" customHeight="1" x14ac:dyDescent="0.2">
      <c r="A73" s="62"/>
      <c r="B73" s="29" t="s">
        <v>97</v>
      </c>
      <c r="C73" s="28">
        <f ca="1">IFERROR(
   COUNTIF(INDIRECT("'" &amp; LOOKUP("zzz",$A$7:A73) &amp; "'!C:C"), B73),
   0
)</f>
        <v>0</v>
      </c>
      <c r="D73" s="73">
        <f t="array" aca="1" ref="D73" ca="1">IFERROR(
  COUNTIFS(
    INDIRECT("'" &amp; LOOKUP(2,1/($A$7:A73&lt;&gt;""),$A$7:A73) &amp; "'!C:C"), $B73,
    INDIRECT("'" &amp; LOOKUP(2,1/($A$7:A73&lt;&gt;""),$A$7:A73) &amp; "'!E:E"), "&gt;=" &amp; ($B$3-6),
    INDIRECT("'" &amp; LOOKUP(2,1/($A$7:A73&lt;&gt;""),$A$7:A73) &amp; "'!E:E"), "&lt;=" &amp; $B$3
  ),
0)</f>
        <v>0</v>
      </c>
    </row>
    <row r="74" spans="1:4" ht="50" customHeight="1" x14ac:dyDescent="0.2">
      <c r="A74" s="62"/>
      <c r="B74" s="29" t="s">
        <v>98</v>
      </c>
      <c r="C74" s="28">
        <f ca="1">IFERROR(
   COUNTIF(INDIRECT("'" &amp; LOOKUP("zzz",$A$7:A74) &amp; "'!C:C"), B74),
   0
)</f>
        <v>0</v>
      </c>
      <c r="D74" s="73">
        <f t="array" aca="1" ref="D74" ca="1">IFERROR(
  COUNTIFS(
    INDIRECT("'" &amp; LOOKUP(2,1/($A$7:A74&lt;&gt;""),$A$7:A74) &amp; "'!C:C"), $B74,
    INDIRECT("'" &amp; LOOKUP(2,1/($A$7:A74&lt;&gt;""),$A$7:A74) &amp; "'!E:E"), "&gt;=" &amp; ($B$3-6),
    INDIRECT("'" &amp; LOOKUP(2,1/($A$7:A74&lt;&gt;""),$A$7:A74) &amp; "'!E:E"), "&lt;=" &amp; $B$3
  ),
0)</f>
        <v>0</v>
      </c>
    </row>
    <row r="75" spans="1:4" ht="50" customHeight="1" x14ac:dyDescent="0.2">
      <c r="A75" s="62"/>
      <c r="B75" s="29" t="s">
        <v>99</v>
      </c>
      <c r="C75" s="28">
        <f ca="1">IFERROR(
   COUNTIF(INDIRECT("'" &amp; LOOKUP("zzz",$A$7:A75) &amp; "'!C:C"), B75),
   0
)</f>
        <v>0</v>
      </c>
      <c r="D75" s="73">
        <f t="array" aca="1" ref="D75" ca="1">IFERROR(
  COUNTIFS(
    INDIRECT("'" &amp; LOOKUP(2,1/($A$7:A75&lt;&gt;""),$A$7:A75) &amp; "'!C:C"), $B75,
    INDIRECT("'" &amp; LOOKUP(2,1/($A$7:A75&lt;&gt;""),$A$7:A75) &amp; "'!E:E"), "&gt;=" &amp; ($B$3-6),
    INDIRECT("'" &amp; LOOKUP(2,1/($A$7:A75&lt;&gt;""),$A$7:A75) &amp; "'!E:E"), "&lt;=" &amp; $B$3
  ),
0)</f>
        <v>0</v>
      </c>
    </row>
    <row r="76" spans="1:4" ht="50" customHeight="1" x14ac:dyDescent="0.2">
      <c r="A76" s="62"/>
      <c r="B76" s="29" t="s">
        <v>100</v>
      </c>
      <c r="C76" s="28">
        <f ca="1">IFERROR(
   COUNTIF(INDIRECT("'" &amp; LOOKUP("zzz",$A$7:A76) &amp; "'!C:C"), B76),
   0
)</f>
        <v>0</v>
      </c>
      <c r="D76" s="73">
        <f t="array" aca="1" ref="D76" ca="1">IFERROR(
  COUNTIFS(
    INDIRECT("'" &amp; LOOKUP(2,1/($A$7:A76&lt;&gt;""),$A$7:A76) &amp; "'!C:C"), $B76,
    INDIRECT("'" &amp; LOOKUP(2,1/($A$7:A76&lt;&gt;""),$A$7:A76) &amp; "'!E:E"), "&gt;=" &amp; ($B$3-6),
    INDIRECT("'" &amp; LOOKUP(2,1/($A$7:A76&lt;&gt;""),$A$7:A76) &amp; "'!E:E"), "&lt;=" &amp; $B$3
  ),
0)</f>
        <v>0</v>
      </c>
    </row>
    <row r="77" spans="1:4" ht="50" customHeight="1" x14ac:dyDescent="0.2">
      <c r="A77" s="28"/>
      <c r="B77" s="29" t="s">
        <v>101</v>
      </c>
      <c r="C77" s="28">
        <f ca="1">IFERROR(
   COUNTIF(INDIRECT("'" &amp; LOOKUP("zzz",$A$7:A77) &amp; "'!C:C"), B77),
   0
)</f>
        <v>0</v>
      </c>
      <c r="D77" s="73">
        <f t="array" aca="1" ref="D77" ca="1">IFERROR(
  COUNTIFS(
    INDIRECT("'" &amp; LOOKUP(2,1/($A$7:A77&lt;&gt;""),$A$7:A77) &amp; "'!C:C"), $B77,
    INDIRECT("'" &amp; LOOKUP(2,1/($A$7:A77&lt;&gt;""),$A$7:A77) &amp; "'!E:E"), "&gt;=" &amp; ($B$3-6),
    INDIRECT("'" &amp; LOOKUP(2,1/($A$7:A77&lt;&gt;""),$A$7:A77) &amp; "'!E:E"), "&lt;=" &amp; $B$3
  ),
0)</f>
        <v>0</v>
      </c>
    </row>
    <row r="78" spans="1:4" ht="50" customHeight="1" x14ac:dyDescent="0.2">
      <c r="A78" s="26"/>
      <c r="B78" s="27" t="s">
        <v>102</v>
      </c>
      <c r="C78" s="26">
        <f ca="1">IFERROR(
   COUNTIF(INDIRECT("'" &amp; LOOKUP("zzz",$A$7:A78) &amp; "'!C:C"), B78),
   0
)</f>
        <v>0</v>
      </c>
      <c r="D78" s="87">
        <f t="array" aca="1" ref="D78" ca="1">IFERROR(
  COUNTIFS(
    INDIRECT("'" &amp; LOOKUP(2,1/($A$7:A78&lt;&gt;""),$A$7:A78) &amp; "'!C:C"), $B78,
    INDIRECT("'" &amp; LOOKUP(2,1/($A$7:A78&lt;&gt;""),$A$7:A78) &amp; "'!E:E"), "&gt;=" &amp; ($B$3-6),
    INDIRECT("'" &amp; LOOKUP(2,1/($A$7:A78&lt;&gt;""),$A$7:A78) &amp; "'!E:E"), "&lt;=" &amp; $B$3
  ),
0)</f>
        <v>0</v>
      </c>
    </row>
    <row r="79" spans="1:4" ht="50" customHeight="1" x14ac:dyDescent="0.2">
      <c r="A79" s="71" t="s">
        <v>17</v>
      </c>
      <c r="B79" s="46" t="s">
        <v>103</v>
      </c>
      <c r="C79" s="47">
        <f ca="1">IFERROR(
   COUNTIF(INDIRECT("'" &amp; LOOKUP("zzz",$A$7:A79) &amp; "'!C:C"), B79),
   0
)</f>
        <v>0</v>
      </c>
      <c r="D79" s="88">
        <f t="array" aca="1" ref="D79" ca="1">IFERROR(
  COUNTIFS(
    INDIRECT("'" &amp; LOOKUP(2,1/($A$7:A79&lt;&gt;""),$A$7:A79) &amp; "'!C:C"), $B79,
    INDIRECT("'" &amp; LOOKUP(2,1/($A$7:A79&lt;&gt;""),$A$7:A79) &amp; "'!E:E"), "&gt;=" &amp; ($B$3-6),
    INDIRECT("'" &amp; LOOKUP(2,1/($A$7:A79&lt;&gt;""),$A$7:A79) &amp; "'!E:E"), "&lt;=" &amp; $B$3
  ),
0)</f>
        <v>0</v>
      </c>
    </row>
    <row r="80" spans="1:4" ht="50" customHeight="1" x14ac:dyDescent="0.2">
      <c r="A80" s="62"/>
      <c r="B80" s="29" t="s">
        <v>104</v>
      </c>
      <c r="C80" s="28">
        <f ca="1">IFERROR(
   COUNTIF(INDIRECT("'" &amp; LOOKUP("zzz",$A$7:A80) &amp; "'!C:C"), B80),
   0
)</f>
        <v>0</v>
      </c>
      <c r="D80" s="73">
        <f t="array" aca="1" ref="D80" ca="1">IFERROR(
  COUNTIFS(
    INDIRECT("'" &amp; LOOKUP(2,1/($A$7:A80&lt;&gt;""),$A$7:A80) &amp; "'!C:C"), $B80,
    INDIRECT("'" &amp; LOOKUP(2,1/($A$7:A80&lt;&gt;""),$A$7:A80) &amp; "'!E:E"), "&gt;=" &amp; ($B$3-6),
    INDIRECT("'" &amp; LOOKUP(2,1/($A$7:A80&lt;&gt;""),$A$7:A80) &amp; "'!E:E"), "&lt;=" &amp; $B$3
  ),
0)</f>
        <v>0</v>
      </c>
    </row>
    <row r="81" spans="1:4" ht="50" customHeight="1" x14ac:dyDescent="0.2">
      <c r="A81" s="62"/>
      <c r="B81" s="29" t="s">
        <v>105</v>
      </c>
      <c r="C81" s="28">
        <f ca="1">IFERROR(
   COUNTIF(INDIRECT("'" &amp; LOOKUP("zzz",$A$7:A81) &amp; "'!C:C"), B81),
   0
)</f>
        <v>0</v>
      </c>
      <c r="D81" s="73">
        <f t="array" aca="1" ref="D81" ca="1">IFERROR(
  COUNTIFS(
    INDIRECT("'" &amp; LOOKUP(2,1/($A$7:A81&lt;&gt;""),$A$7:A81) &amp; "'!C:C"), $B81,
    INDIRECT("'" &amp; LOOKUP(2,1/($A$7:A81&lt;&gt;""),$A$7:A81) &amp; "'!E:E"), "&gt;=" &amp; ($B$3-6),
    INDIRECT("'" &amp; LOOKUP(2,1/($A$7:A81&lt;&gt;""),$A$7:A81) &amp; "'!E:E"), "&lt;=" &amp; $B$3
  ),
0)</f>
        <v>0</v>
      </c>
    </row>
    <row r="82" spans="1:4" ht="50" customHeight="1" x14ac:dyDescent="0.2">
      <c r="A82" s="62"/>
      <c r="B82" s="29" t="s">
        <v>106</v>
      </c>
      <c r="C82" s="28">
        <f ca="1">IFERROR(
   COUNTIF(INDIRECT("'" &amp; LOOKUP("zzz",$A$7:A82) &amp; "'!C:C"), B82),
   0
)</f>
        <v>0</v>
      </c>
      <c r="D82" s="73">
        <f t="array" aca="1" ref="D82" ca="1">IFERROR(
  COUNTIFS(
    INDIRECT("'" &amp; LOOKUP(2,1/($A$7:A82&lt;&gt;""),$A$7:A82) &amp; "'!C:C"), $B82,
    INDIRECT("'" &amp; LOOKUP(2,1/($A$7:A82&lt;&gt;""),$A$7:A82) &amp; "'!E:E"), "&gt;=" &amp; ($B$3-6),
    INDIRECT("'" &amp; LOOKUP(2,1/($A$7:A82&lt;&gt;""),$A$7:A82) &amp; "'!E:E"), "&lt;=" &amp; $B$3
  ),
0)</f>
        <v>0</v>
      </c>
    </row>
    <row r="83" spans="1:4" ht="50" customHeight="1" x14ac:dyDescent="0.2">
      <c r="A83" s="62"/>
      <c r="B83" s="29" t="s">
        <v>107</v>
      </c>
      <c r="C83" s="28">
        <f ca="1">IFERROR(
   COUNTIF(INDIRECT("'" &amp; LOOKUP("zzz",$A$7:A83) &amp; "'!C:C"), B83),
   0
)</f>
        <v>0</v>
      </c>
      <c r="D83" s="73">
        <f t="array" aca="1" ref="D83" ca="1">IFERROR(
  COUNTIFS(
    INDIRECT("'" &amp; LOOKUP(2,1/($A$7:A83&lt;&gt;""),$A$7:A83) &amp; "'!C:C"), $B83,
    INDIRECT("'" &amp; LOOKUP(2,1/($A$7:A83&lt;&gt;""),$A$7:A83) &amp; "'!E:E"), "&gt;=" &amp; ($B$3-6),
    INDIRECT("'" &amp; LOOKUP(2,1/($A$7:A83&lt;&gt;""),$A$7:A83) &amp; "'!E:E"), "&lt;=" &amp; $B$3
  ),
0)</f>
        <v>0</v>
      </c>
    </row>
    <row r="84" spans="1:4" ht="50" customHeight="1" x14ac:dyDescent="0.2">
      <c r="A84" s="62"/>
      <c r="B84" s="29" t="s">
        <v>108</v>
      </c>
      <c r="C84" s="28">
        <f ca="1">IFERROR(
   COUNTIF(INDIRECT("'" &amp; LOOKUP("zzz",$A$7:A84) &amp; "'!C:C"), B84),
   0
)</f>
        <v>0</v>
      </c>
      <c r="D84" s="73">
        <f t="array" aca="1" ref="D84" ca="1">IFERROR(
  COUNTIFS(
    INDIRECT("'" &amp; LOOKUP(2,1/($A$7:A84&lt;&gt;""),$A$7:A84) &amp; "'!C:C"), $B84,
    INDIRECT("'" &amp; LOOKUP(2,1/($A$7:A84&lt;&gt;""),$A$7:A84) &amp; "'!E:E"), "&gt;=" &amp; ($B$3-6),
    INDIRECT("'" &amp; LOOKUP(2,1/($A$7:A84&lt;&gt;""),$A$7:A84) &amp; "'!E:E"), "&lt;=" &amp; $B$3
  ),
0)</f>
        <v>0</v>
      </c>
    </row>
    <row r="85" spans="1:4" ht="50" customHeight="1" x14ac:dyDescent="0.2">
      <c r="A85" s="62"/>
      <c r="B85" s="29" t="s">
        <v>109</v>
      </c>
      <c r="C85" s="28">
        <f ca="1">IFERROR(
   COUNTIF(INDIRECT("'" &amp; LOOKUP("zzz",$A$7:A85) &amp; "'!C:C"), B85),
   0
)</f>
        <v>0</v>
      </c>
      <c r="D85" s="73">
        <f t="array" aca="1" ref="D85" ca="1">IFERROR(
  COUNTIFS(
    INDIRECT("'" &amp; LOOKUP(2,1/($A$7:A85&lt;&gt;""),$A$7:A85) &amp; "'!C:C"), $B85,
    INDIRECT("'" &amp; LOOKUP(2,1/($A$7:A85&lt;&gt;""),$A$7:A85) &amp; "'!E:E"), "&gt;=" &amp; ($B$3-6),
    INDIRECT("'" &amp; LOOKUP(2,1/($A$7:A85&lt;&gt;""),$A$7:A85) &amp; "'!E:E"), "&lt;=" &amp; $B$3
  ),
0)</f>
        <v>0</v>
      </c>
    </row>
    <row r="86" spans="1:4" ht="50" customHeight="1" x14ac:dyDescent="0.2">
      <c r="A86" s="28"/>
      <c r="B86" s="29" t="s">
        <v>110</v>
      </c>
      <c r="C86" s="28">
        <f ca="1">IFERROR(
   COUNTIF(INDIRECT("'" &amp; LOOKUP("zzz",$A$7:A86) &amp; "'!C:C"), B86),
   0
)</f>
        <v>0</v>
      </c>
      <c r="D86" s="73">
        <f t="array" aca="1" ref="D86" ca="1">IFERROR(
  COUNTIFS(
    INDIRECT("'" &amp; LOOKUP(2,1/($A$7:A86&lt;&gt;""),$A$7:A86) &amp; "'!C:C"), $B86,
    INDIRECT("'" &amp; LOOKUP(2,1/($A$7:A86&lt;&gt;""),$A$7:A86) &amp; "'!E:E"), "&gt;=" &amp; ($B$3-6),
    INDIRECT("'" &amp; LOOKUP(2,1/($A$7:A86&lt;&gt;""),$A$7:A86) &amp; "'!E:E"), "&lt;=" &amp; $B$3
  ),
0)</f>
        <v>0</v>
      </c>
    </row>
    <row r="87" spans="1:4" ht="50" customHeight="1" x14ac:dyDescent="0.2">
      <c r="A87" s="38"/>
      <c r="B87" s="43" t="s">
        <v>111</v>
      </c>
      <c r="C87" s="28">
        <f ca="1">IFERROR(
   COUNTIF(INDIRECT("'" &amp; LOOKUP("zzz",$A$7:A87) &amp; "'!C:C"), B87),
   0
)</f>
        <v>0</v>
      </c>
      <c r="D87" s="73">
        <f t="array" aca="1" ref="D87" ca="1">IFERROR(
  COUNTIFS(
    INDIRECT("'" &amp; LOOKUP(2,1/($A$7:A87&lt;&gt;""),$A$7:A87) &amp; "'!C:C"), $B87,
    INDIRECT("'" &amp; LOOKUP(2,1/($A$7:A87&lt;&gt;""),$A$7:A87) &amp; "'!E:E"), "&gt;=" &amp; ($B$3-6),
    INDIRECT("'" &amp; LOOKUP(2,1/($A$7:A87&lt;&gt;""),$A$7:A87) &amp; "'!E:E"), "&lt;=" &amp; $B$3
  ),
0)</f>
        <v>0</v>
      </c>
    </row>
    <row r="88" spans="1:4" ht="50" customHeight="1" x14ac:dyDescent="0.2">
      <c r="A88" s="28"/>
      <c r="B88" s="29" t="s">
        <v>112</v>
      </c>
      <c r="C88" s="28">
        <f ca="1">IFERROR(
   COUNTIF(INDIRECT("'" &amp; LOOKUP("zzz",$A$7:A88) &amp; "'!C:C"), B88),
   0
)</f>
        <v>0</v>
      </c>
      <c r="D88" s="87">
        <f t="array" aca="1" ref="D88" ca="1">IFERROR(
  COUNTIFS(
    INDIRECT("'" &amp; LOOKUP(2,1/($A$7:A88&lt;&gt;""),$A$7:A88) &amp; "'!C:C"), $B88,
    INDIRECT("'" &amp; LOOKUP(2,1/($A$7:A88&lt;&gt;""),$A$7:A88) &amp; "'!E:E"), "&gt;=" &amp; ($B$3-6),
    INDIRECT("'" &amp; LOOKUP(2,1/($A$7:A88&lt;&gt;""),$A$7:A88) &amp; "'!E:E"), "&lt;=" &amp; $B$3
  ),
0)</f>
        <v>0</v>
      </c>
    </row>
    <row r="89" spans="1:4" ht="50" customHeight="1" x14ac:dyDescent="0.2">
      <c r="A89" s="90"/>
      <c r="B89" s="91" t="s">
        <v>113</v>
      </c>
      <c r="C89" s="90">
        <f ca="1">IFERROR(
   COUNTIF(INDIRECT("'" &amp; LOOKUP("zzz",$A$7:A89) &amp; "'!C:C"), B89),
   0
)</f>
        <v>0</v>
      </c>
      <c r="D89" s="87">
        <f t="array" aca="1" ref="D89" ca="1">IFERROR(
  COUNTIFS(
    INDIRECT("'" &amp; LOOKUP(2,1/($A$7:A89&lt;&gt;""),$A$7:A89) &amp; "'!C:C"), $B89,
    INDIRECT("'" &amp; LOOKUP(2,1/($A$7:A89&lt;&gt;""),$A$7:A89) &amp; "'!E:E"), "&gt;=" &amp; ($B$3-6),
    INDIRECT("'" &amp; LOOKUP(2,1/($A$7:A89&lt;&gt;""),$A$7:A89) &amp; "'!E:E"), "&lt;=" &amp; $B$3
  ),
0)</f>
        <v>0</v>
      </c>
    </row>
    <row r="90" spans="1:4" ht="50" customHeight="1" x14ac:dyDescent="0.2">
      <c r="A90" s="71" t="s">
        <v>18</v>
      </c>
      <c r="B90" s="46" t="s">
        <v>114</v>
      </c>
      <c r="C90" s="47">
        <f ca="1">IFERROR(
   COUNTIF(INDIRECT("'" &amp; LOOKUP("zzz",$A$7:A90) &amp; "'!C:C"), B90),
   0
)</f>
        <v>0</v>
      </c>
      <c r="D90" s="88">
        <f t="array" aca="1" ref="D90" ca="1">IFERROR(
  COUNTIFS(
    INDIRECT("'" &amp; LOOKUP(2,1/($A$7:A90&lt;&gt;""),$A$7:A90) &amp; "'!C:C"), $B90,
    INDIRECT("'" &amp; LOOKUP(2,1/($A$7:A90&lt;&gt;""),$A$7:A90) &amp; "'!E:E"), "&gt;=" &amp; ($B$3-6),
    INDIRECT("'" &amp; LOOKUP(2,1/($A$7:A90&lt;&gt;""),$A$7:A90) &amp; "'!E:E"), "&lt;=" &amp; $B$3
  ),
0)</f>
        <v>0</v>
      </c>
    </row>
    <row r="91" spans="1:4" ht="50" customHeight="1" x14ac:dyDescent="0.2">
      <c r="A91" s="28"/>
      <c r="B91" s="29" t="s">
        <v>115</v>
      </c>
      <c r="C91" s="28">
        <f ca="1">IFERROR(
   COUNTIF(INDIRECT("'" &amp; LOOKUP("zzz",$A$7:A91) &amp; "'!C:C"), B91),
   0
)</f>
        <v>0</v>
      </c>
      <c r="D91" s="73">
        <f t="array" aca="1" ref="D91" ca="1">IFERROR(
  COUNTIFS(
    INDIRECT("'" &amp; LOOKUP(2,1/($A$7:A91&lt;&gt;""),$A$7:A91) &amp; "'!C:C"), $B91,
    INDIRECT("'" &amp; LOOKUP(2,1/($A$7:A91&lt;&gt;""),$A$7:A91) &amp; "'!E:E"), "&gt;=" &amp; ($B$3-6),
    INDIRECT("'" &amp; LOOKUP(2,1/($A$7:A91&lt;&gt;""),$A$7:A91) &amp; "'!E:E"), "&lt;=" &amp; $B$3
  ),
0)</f>
        <v>0</v>
      </c>
    </row>
    <row r="92" spans="1:4" ht="50" customHeight="1" x14ac:dyDescent="0.2">
      <c r="A92" s="28"/>
      <c r="B92" s="29" t="s">
        <v>116</v>
      </c>
      <c r="C92" s="28">
        <f ca="1">IFERROR(
   COUNTIF(INDIRECT("'" &amp; LOOKUP("zzz",$A$7:A92) &amp; "'!C:C"), B92),
   0
)</f>
        <v>0</v>
      </c>
      <c r="D92" s="73">
        <f t="array" aca="1" ref="D92" ca="1">IFERROR(
  COUNTIFS(
    INDIRECT("'" &amp; LOOKUP(2,1/($A$7:A92&lt;&gt;""),$A$7:A92) &amp; "'!C:C"), $B92,
    INDIRECT("'" &amp; LOOKUP(2,1/($A$7:A92&lt;&gt;""),$A$7:A92) &amp; "'!E:E"), "&gt;=" &amp; ($B$3-6),
    INDIRECT("'" &amp; LOOKUP(2,1/($A$7:A92&lt;&gt;""),$A$7:A92) &amp; "'!E:E"), "&lt;=" &amp; $B$3
  ),
0)</f>
        <v>0</v>
      </c>
    </row>
    <row r="93" spans="1:4" ht="50" customHeight="1" x14ac:dyDescent="0.2">
      <c r="A93" s="28"/>
      <c r="B93" s="29" t="s">
        <v>117</v>
      </c>
      <c r="C93" s="28">
        <f ca="1">IFERROR(
   COUNTIF(INDIRECT("'" &amp; LOOKUP("zzz",$A$7:A93) &amp; "'!C:C"), B93),
   0
)</f>
        <v>0</v>
      </c>
      <c r="D93" s="73">
        <f t="array" aca="1" ref="D93" ca="1">IFERROR(
  COUNTIFS(
    INDIRECT("'" &amp; LOOKUP(2,1/($A$7:A93&lt;&gt;""),$A$7:A93) &amp; "'!C:C"), $B93,
    INDIRECT("'" &amp; LOOKUP(2,1/($A$7:A93&lt;&gt;""),$A$7:A93) &amp; "'!E:E"), "&gt;=" &amp; ($B$3-6),
    INDIRECT("'" &amp; LOOKUP(2,1/($A$7:A93&lt;&gt;""),$A$7:A93) &amp; "'!E:E"), "&lt;=" &amp; $B$3
  ),
0)</f>
        <v>0</v>
      </c>
    </row>
    <row r="94" spans="1:4" ht="50" customHeight="1" x14ac:dyDescent="0.2">
      <c r="A94" s="28"/>
      <c r="B94" s="29" t="s">
        <v>118</v>
      </c>
      <c r="C94" s="28">
        <f ca="1">IFERROR(
   COUNTIF(INDIRECT("'" &amp; LOOKUP("zzz",$A$7:A94) &amp; "'!C:C"), B94),
   0
)</f>
        <v>0</v>
      </c>
      <c r="D94" s="73">
        <f t="array" aca="1" ref="D94" ca="1">IFERROR(
  COUNTIFS(
    INDIRECT("'" &amp; LOOKUP(2,1/($A$7:A94&lt;&gt;""),$A$7:A94) &amp; "'!C:C"), $B94,
    INDIRECT("'" &amp; LOOKUP(2,1/($A$7:A94&lt;&gt;""),$A$7:A94) &amp; "'!E:E"), "&gt;=" &amp; ($B$3-6),
    INDIRECT("'" &amp; LOOKUP(2,1/($A$7:A94&lt;&gt;""),$A$7:A94) &amp; "'!E:E"), "&lt;=" &amp; $B$3
  ),
0)</f>
        <v>0</v>
      </c>
    </row>
    <row r="95" spans="1:4" ht="50" customHeight="1" x14ac:dyDescent="0.2">
      <c r="A95" s="28"/>
      <c r="B95" s="92" t="s">
        <v>119</v>
      </c>
      <c r="C95" s="28">
        <f ca="1">IFERROR(
   COUNTIF(INDIRECT("'" &amp; LOOKUP("zzz",$A$7:A95) &amp; "'!C:C"), B95),
   0
)</f>
        <v>0</v>
      </c>
      <c r="D95" s="73">
        <f t="array" aca="1" ref="D95" ca="1">IFERROR(
  COUNTIFS(
    INDIRECT("'" &amp; LOOKUP(2,1/($A$7:A95&lt;&gt;""),$A$7:A95) &amp; "'!C:C"), $B95,
    INDIRECT("'" &amp; LOOKUP(2,1/($A$7:A95&lt;&gt;""),$A$7:A95) &amp; "'!E:E"), "&gt;=" &amp; ($B$3-6),
    INDIRECT("'" &amp; LOOKUP(2,1/($A$7:A95&lt;&gt;""),$A$7:A95) &amp; "'!E:E"), "&lt;=" &amp; $B$3
  ),
0)</f>
        <v>0</v>
      </c>
    </row>
    <row r="96" spans="1:4" ht="50" customHeight="1" x14ac:dyDescent="0.2">
      <c r="A96" s="28"/>
      <c r="B96" s="29" t="s">
        <v>120</v>
      </c>
      <c r="C96" s="28">
        <f ca="1">IFERROR(
   COUNTIF(INDIRECT("'" &amp; LOOKUP("zzz",$A$7:A96) &amp; "'!C:C"), B96),
   0
)</f>
        <v>0</v>
      </c>
      <c r="D96" s="87">
        <f t="array" aca="1" ref="D96" ca="1">IFERROR(
  COUNTIFS(
    INDIRECT("'" &amp; LOOKUP(2,1/($A$7:A96&lt;&gt;""),$A$7:A96) &amp; "'!C:C"), $B96,
    INDIRECT("'" &amp; LOOKUP(2,1/($A$7:A96&lt;&gt;""),$A$7:A96) &amp; "'!E:E"), "&gt;=" &amp; ($B$3-6),
    INDIRECT("'" &amp; LOOKUP(2,1/($A$7:A96&lt;&gt;""),$A$7:A96) &amp; "'!E:E"), "&lt;=" &amp; $B$3
  ),
0)</f>
        <v>0</v>
      </c>
    </row>
    <row r="97" spans="1:4" ht="50" customHeight="1" x14ac:dyDescent="0.2">
      <c r="A97" s="24"/>
      <c r="B97" s="25" t="s">
        <v>121</v>
      </c>
      <c r="C97" s="24">
        <f ca="1">IFERROR(
   COUNTIF(INDIRECT("'" &amp; LOOKUP("zzz",$A$7:A97) &amp; "'!C:C"), B97),
   0
)</f>
        <v>0</v>
      </c>
      <c r="D97" s="73">
        <f t="array" aca="1" ref="D97" ca="1">IFERROR(
  COUNTIFS(
    INDIRECT("'" &amp; LOOKUP(2,1/($A$7:A97&lt;&gt;""),$A$7:A97) &amp; "'!C:C"), $B97,
    INDIRECT("'" &amp; LOOKUP(2,1/($A$7:A97&lt;&gt;""),$A$7:A97) &amp; "'!E:E"), "&gt;=" &amp; ($B$3-6),
    INDIRECT("'" &amp; LOOKUP(2,1/($A$7:A97&lt;&gt;""),$A$7:A97) &amp; "'!E:E"), "&lt;=" &amp; $B$3
  ),
0)</f>
        <v>0</v>
      </c>
    </row>
    <row r="98" spans="1:4" ht="50" customHeight="1" x14ac:dyDescent="0.2">
      <c r="A98" s="72" t="s">
        <v>19</v>
      </c>
      <c r="B98" s="44" t="s">
        <v>122</v>
      </c>
      <c r="C98" s="45">
        <f ca="1">IFERROR(
   COUNTIF(INDIRECT("'" &amp; LOOKUP("zzz",$A$7:A98) &amp; "'!C:C"), B98),
   0
)</f>
        <v>0</v>
      </c>
      <c r="D98" s="88">
        <f t="array" aca="1" ref="D98" ca="1">IFERROR(
  COUNTIFS(
    INDIRECT("'" &amp; LOOKUP(2,1/($A$7:A98&lt;&gt;""),$A$7:A98) &amp; "'!C:C"), $B98,
    INDIRECT("'" &amp; LOOKUP(2,1/($A$7:A98&lt;&gt;""),$A$7:A98) &amp; "'!E:E"), "&gt;=" &amp; ($B$3-6),
    INDIRECT("'" &amp; LOOKUP(2,1/($A$7:A98&lt;&gt;""),$A$7:A98) &amp; "'!E:E"), "&lt;=" &amp; $B$3
  ),
0)</f>
        <v>0</v>
      </c>
    </row>
    <row r="99" spans="1:4" ht="50" customHeight="1" x14ac:dyDescent="0.2">
      <c r="A99" s="28"/>
      <c r="B99" s="29" t="s">
        <v>123</v>
      </c>
      <c r="C99" s="28">
        <f ca="1">IFERROR(
   COUNTIF(INDIRECT("'" &amp; LOOKUP("zzz",$A$7:A99) &amp; "'!C:C"), B99),
   0
)</f>
        <v>0</v>
      </c>
      <c r="D99" s="73">
        <f t="array" aca="1" ref="D99" ca="1">IFERROR(
  COUNTIFS(
    INDIRECT("'" &amp; LOOKUP(2,1/($A$7:A99&lt;&gt;""),$A$7:A99) &amp; "'!C:C"), $B99,
    INDIRECT("'" &amp; LOOKUP(2,1/($A$7:A99&lt;&gt;""),$A$7:A99) &amp; "'!E:E"), "&gt;=" &amp; ($B$3-6),
    INDIRECT("'" &amp; LOOKUP(2,1/($A$7:A99&lt;&gt;""),$A$7:A99) &amp; "'!E:E"), "&lt;=" &amp; $B$3
  ),
0)</f>
        <v>0</v>
      </c>
    </row>
    <row r="100" spans="1:4" ht="50" customHeight="1" x14ac:dyDescent="0.2">
      <c r="A100" s="28"/>
      <c r="B100" s="29" t="s">
        <v>124</v>
      </c>
      <c r="C100" s="28">
        <f ca="1">IFERROR(
   COUNTIF(INDIRECT("'" &amp; LOOKUP("zzz",$A$7:A100) &amp; "'!C:C"), B100),
   0
)</f>
        <v>0</v>
      </c>
      <c r="D100" s="73">
        <f t="array" aca="1" ref="D100" ca="1">IFERROR(
  COUNTIFS(
    INDIRECT("'" &amp; LOOKUP(2,1/($A$7:A100&lt;&gt;""),$A$7:A100) &amp; "'!C:C"), $B100,
    INDIRECT("'" &amp; LOOKUP(2,1/($A$7:A100&lt;&gt;""),$A$7:A100) &amp; "'!E:E"), "&gt;=" &amp; ($B$3-6),
    INDIRECT("'" &amp; LOOKUP(2,1/($A$7:A100&lt;&gt;""),$A$7:A100) &amp; "'!E:E"), "&lt;=" &amp; $B$3
  ),
0)</f>
        <v>0</v>
      </c>
    </row>
    <row r="101" spans="1:4" ht="50" customHeight="1" x14ac:dyDescent="0.2">
      <c r="A101" s="28"/>
      <c r="B101" s="29" t="s">
        <v>125</v>
      </c>
      <c r="C101" s="28">
        <f ca="1">IFERROR(
   COUNTIF(INDIRECT("'" &amp; LOOKUP("zzz",$A$7:A101) &amp; "'!C:C"), B101),
   0
)</f>
        <v>0</v>
      </c>
      <c r="D101" s="73">
        <f t="array" aca="1" ref="D101" ca="1">IFERROR(
  COUNTIFS(
    INDIRECT("'" &amp; LOOKUP(2,1/($A$7:A101&lt;&gt;""),$A$7:A101) &amp; "'!C:C"), $B101,
    INDIRECT("'" &amp; LOOKUP(2,1/($A$7:A101&lt;&gt;""),$A$7:A101) &amp; "'!E:E"), "&gt;=" &amp; ($B$3-6),
    INDIRECT("'" &amp; LOOKUP(2,1/($A$7:A101&lt;&gt;""),$A$7:A101) &amp; "'!E:E"), "&lt;=" &amp; $B$3
  ),
0)</f>
        <v>0</v>
      </c>
    </row>
    <row r="102" spans="1:4" ht="50" customHeight="1" x14ac:dyDescent="0.2">
      <c r="A102" s="28"/>
      <c r="B102" s="29" t="s">
        <v>126</v>
      </c>
      <c r="C102" s="28">
        <f ca="1">IFERROR(
   COUNTIF(INDIRECT("'" &amp; LOOKUP("zzz",$A$7:A102) &amp; "'!C:C"), B102),
   0
)</f>
        <v>0</v>
      </c>
      <c r="D102" s="73">
        <f t="array" aca="1" ref="D102" ca="1">IFERROR(
  COUNTIFS(
    INDIRECT("'" &amp; LOOKUP(2,1/($A$7:A102&lt;&gt;""),$A$7:A102) &amp; "'!C:C"), $B102,
    INDIRECT("'" &amp; LOOKUP(2,1/($A$7:A102&lt;&gt;""),$A$7:A102) &amp; "'!E:E"), "&gt;=" &amp; ($B$3-6),
    INDIRECT("'" &amp; LOOKUP(2,1/($A$7:A102&lt;&gt;""),$A$7:A102) &amp; "'!E:E"), "&lt;=" &amp; $B$3
  ),
0)</f>
        <v>0</v>
      </c>
    </row>
    <row r="103" spans="1:4" ht="50" customHeight="1" x14ac:dyDescent="0.2">
      <c r="A103" s="28"/>
      <c r="B103" s="29" t="s">
        <v>127</v>
      </c>
      <c r="C103" s="28">
        <f ca="1">IFERROR(
   COUNTIF(INDIRECT("'" &amp; LOOKUP("zzz",$A$7:A103) &amp; "'!C:C"), B103),
   0
)</f>
        <v>0</v>
      </c>
      <c r="D103" s="73">
        <f t="array" aca="1" ref="D103" ca="1">IFERROR(
  COUNTIFS(
    INDIRECT("'" &amp; LOOKUP(2,1/($A$7:A103&lt;&gt;""),$A$7:A103) &amp; "'!C:C"), $B103,
    INDIRECT("'" &amp; LOOKUP(2,1/($A$7:A103&lt;&gt;""),$A$7:A103) &amp; "'!E:E"), "&gt;=" &amp; ($B$3-6),
    INDIRECT("'" &amp; LOOKUP(2,1/($A$7:A103&lt;&gt;""),$A$7:A103) &amp; "'!E:E"), "&lt;=" &amp; $B$3
  ),
0)</f>
        <v>0</v>
      </c>
    </row>
    <row r="104" spans="1:4" ht="50" customHeight="1" x14ac:dyDescent="0.2">
      <c r="A104" s="28"/>
      <c r="B104" s="29" t="s">
        <v>128</v>
      </c>
      <c r="C104" s="28">
        <f ca="1">IFERROR(
   COUNTIF(INDIRECT("'" &amp; LOOKUP("zzz",$A$7:A104) &amp; "'!C:C"), B104),
   0
)</f>
        <v>0</v>
      </c>
      <c r="D104" s="73">
        <f t="array" aca="1" ref="D104" ca="1">IFERROR(
  COUNTIFS(
    INDIRECT("'" &amp; LOOKUP(2,1/($A$7:A104&lt;&gt;""),$A$7:A104) &amp; "'!C:C"), $B104,
    INDIRECT("'" &amp; LOOKUP(2,1/($A$7:A104&lt;&gt;""),$A$7:A104) &amp; "'!E:E"), "&gt;=" &amp; ($B$3-6),
    INDIRECT("'" &amp; LOOKUP(2,1/($A$7:A104&lt;&gt;""),$A$7:A104) &amp; "'!E:E"), "&lt;=" &amp; $B$3
  ),
0)</f>
        <v>0</v>
      </c>
    </row>
    <row r="105" spans="1:4" ht="50" customHeight="1" x14ac:dyDescent="0.2">
      <c r="A105" s="28"/>
      <c r="B105" s="29" t="s">
        <v>129</v>
      </c>
      <c r="C105" s="28">
        <f ca="1">IFERROR(
   COUNTIF(INDIRECT("'" &amp; LOOKUP("zzz",$A$7:A105) &amp; "'!C:C"), B105),
   0
)</f>
        <v>0</v>
      </c>
      <c r="D105" s="73">
        <f t="array" aca="1" ref="D105" ca="1">IFERROR(
  COUNTIFS(
    INDIRECT("'" &amp; LOOKUP(2,1/($A$7:A105&lt;&gt;""),$A$7:A105) &amp; "'!C:C"), $B105,
    INDIRECT("'" &amp; LOOKUP(2,1/($A$7:A105&lt;&gt;""),$A$7:A105) &amp; "'!E:E"), "&gt;=" &amp; ($B$3-6),
    INDIRECT("'" &amp; LOOKUP(2,1/($A$7:A105&lt;&gt;""),$A$7:A105) &amp; "'!E:E"), "&lt;=" &amp; $B$3
  ),
0)</f>
        <v>0</v>
      </c>
    </row>
    <row r="106" spans="1:4" ht="50" customHeight="1" x14ac:dyDescent="0.2">
      <c r="A106" s="28"/>
      <c r="B106" s="29" t="s">
        <v>130</v>
      </c>
      <c r="C106" s="28">
        <f ca="1">IFERROR(
   COUNTIF(INDIRECT("'" &amp; LOOKUP("zzz",$A$7:A106) &amp; "'!C:C"), B106),
   0
)</f>
        <v>0</v>
      </c>
      <c r="D106" s="73">
        <f t="array" aca="1" ref="D106" ca="1">IFERROR(
  COUNTIFS(
    INDIRECT("'" &amp; LOOKUP(2,1/($A$7:A106&lt;&gt;""),$A$7:A106) &amp; "'!C:C"), $B106,
    INDIRECT("'" &amp; LOOKUP(2,1/($A$7:A106&lt;&gt;""),$A$7:A106) &amp; "'!E:E"), "&gt;=" &amp; ($B$3-6),
    INDIRECT("'" &amp; LOOKUP(2,1/($A$7:A106&lt;&gt;""),$A$7:A106) &amp; "'!E:E"), "&lt;=" &amp; $B$3
  ),
0)</f>
        <v>0</v>
      </c>
    </row>
    <row r="107" spans="1:4" ht="50" customHeight="1" x14ac:dyDescent="0.2">
      <c r="A107" s="28"/>
      <c r="B107" s="29" t="s">
        <v>131</v>
      </c>
      <c r="C107" s="28">
        <f ca="1">IFERROR(
   COUNTIF(INDIRECT("'" &amp; LOOKUP("zzz",$A$7:A107) &amp; "'!C:C"), B107),
   0
)</f>
        <v>0</v>
      </c>
      <c r="D107" s="73">
        <f t="array" aca="1" ref="D107" ca="1">IFERROR(
  COUNTIFS(
    INDIRECT("'" &amp; LOOKUP(2,1/($A$7:A107&lt;&gt;""),$A$7:A107) &amp; "'!C:C"), $B107,
    INDIRECT("'" &amp; LOOKUP(2,1/($A$7:A107&lt;&gt;""),$A$7:A107) &amp; "'!E:E"), "&gt;=" &amp; ($B$3-6),
    INDIRECT("'" &amp; LOOKUP(2,1/($A$7:A107&lt;&gt;""),$A$7:A107) &amp; "'!E:E"), "&lt;=" &amp; $B$3
  ),
0)</f>
        <v>0</v>
      </c>
    </row>
    <row r="108" spans="1:4" ht="50" customHeight="1" x14ac:dyDescent="0.2">
      <c r="A108" s="28"/>
      <c r="B108" s="29" t="s">
        <v>132</v>
      </c>
      <c r="C108" s="28">
        <f ca="1">IFERROR(
   COUNTIF(INDIRECT("'" &amp; LOOKUP("zzz",$A$7:A108) &amp; "'!C:C"), B108),
   0
)</f>
        <v>0</v>
      </c>
      <c r="D108" s="73">
        <f t="array" aca="1" ref="D108" ca="1">IFERROR(
  COUNTIFS(
    INDIRECT("'" &amp; LOOKUP(2,1/($A$7:A108&lt;&gt;""),$A$7:A108) &amp; "'!C:C"), $B108,
    INDIRECT("'" &amp; LOOKUP(2,1/($A$7:A108&lt;&gt;""),$A$7:A108) &amp; "'!E:E"), "&gt;=" &amp; ($B$3-6),
    INDIRECT("'" &amp; LOOKUP(2,1/($A$7:A108&lt;&gt;""),$A$7:A108) &amp; "'!E:E"), "&lt;=" &amp; $B$3
  ),
0)</f>
        <v>0</v>
      </c>
    </row>
    <row r="109" spans="1:4" ht="50" customHeight="1" x14ac:dyDescent="0.2">
      <c r="A109" s="69" t="s">
        <v>21</v>
      </c>
      <c r="B109" s="48" t="s">
        <v>133</v>
      </c>
      <c r="C109" s="47">
        <f ca="1">IFERROR(
   COUNTIF(INDIRECT("'" &amp; LOOKUP("zzz",$A$7:A109) &amp; "'!C:C"), B109),
   0
)</f>
        <v>0</v>
      </c>
      <c r="D109" s="88">
        <f t="array" aca="1" ref="D109" ca="1">IFERROR(
  COUNTIFS(
    INDIRECT("'" &amp; LOOKUP(2,1/($A$7:A109&lt;&gt;""),$A$7:A109) &amp; "'!C:C"), $B109,
    INDIRECT("'" &amp; LOOKUP(2,1/($A$7:A109&lt;&gt;""),$A$7:A109) &amp; "'!E:E"), "&gt;=" &amp; ($B$3-6),
    INDIRECT("'" &amp; LOOKUP(2,1/($A$7:A109&lt;&gt;""),$A$7:A109) &amp; "'!E:E"), "&lt;=" &amp; $B$3
  ),
0)</f>
        <v>0</v>
      </c>
    </row>
    <row r="110" spans="1:4" ht="50" customHeight="1" x14ac:dyDescent="0.2">
      <c r="A110" s="31"/>
      <c r="B110" s="30" t="s">
        <v>134</v>
      </c>
      <c r="C110" s="28">
        <f ca="1">IFERROR(
   COUNTIF(INDIRECT("'" &amp; LOOKUP("zzz",$A$7:A110) &amp; "'!C:C"), B110),
   0
)</f>
        <v>0</v>
      </c>
      <c r="D110" s="73">
        <f t="array" aca="1" ref="D110" ca="1">IFERROR(
  COUNTIFS(
    INDIRECT("'" &amp; LOOKUP(2,1/($A$7:A110&lt;&gt;""),$A$7:A110) &amp; "'!C:C"), $B110,
    INDIRECT("'" &amp; LOOKUP(2,1/($A$7:A110&lt;&gt;""),$A$7:A110) &amp; "'!E:E"), "&gt;=" &amp; ($B$3-6),
    INDIRECT("'" &amp; LOOKUP(2,1/($A$7:A110&lt;&gt;""),$A$7:A110) &amp; "'!E:E"), "&lt;=" &amp; $B$3
  ),
0)</f>
        <v>0</v>
      </c>
    </row>
    <row r="111" spans="1:4" ht="50" customHeight="1" x14ac:dyDescent="0.2">
      <c r="A111" s="31"/>
      <c r="B111" s="30" t="s">
        <v>135</v>
      </c>
      <c r="C111" s="28">
        <f ca="1">IFERROR(
   COUNTIF(INDIRECT("'" &amp; LOOKUP("zzz",$A$7:A111) &amp; "'!C:C"), B111),
   0
)</f>
        <v>0</v>
      </c>
      <c r="D111" s="73">
        <f t="array" aca="1" ref="D111" ca="1">IFERROR(
  COUNTIFS(
    INDIRECT("'" &amp; LOOKUP(2,1/($A$7:A111&lt;&gt;""),$A$7:A111) &amp; "'!C:C"), $B111,
    INDIRECT("'" &amp; LOOKUP(2,1/($A$7:A111&lt;&gt;""),$A$7:A111) &amp; "'!E:E"), "&gt;=" &amp; ($B$3-6),
    INDIRECT("'" &amp; LOOKUP(2,1/($A$7:A111&lt;&gt;""),$A$7:A111) &amp; "'!E:E"), "&lt;=" &amp; $B$3
  ),
0)</f>
        <v>0</v>
      </c>
    </row>
    <row r="112" spans="1:4" ht="50" customHeight="1" x14ac:dyDescent="0.2">
      <c r="A112" s="31"/>
      <c r="B112" s="30" t="s">
        <v>136</v>
      </c>
      <c r="C112" s="28">
        <f ca="1">IFERROR(
   COUNTIF(INDIRECT("'" &amp; LOOKUP("zzz",$A$7:A112) &amp; "'!C:C"), B112),
   0
)</f>
        <v>0</v>
      </c>
      <c r="D112" s="73">
        <f t="array" aca="1" ref="D112" ca="1">IFERROR(
  COUNTIFS(
    INDIRECT("'" &amp; LOOKUP(2,1/($A$7:A112&lt;&gt;""),$A$7:A112) &amp; "'!C:C"), $B112,
    INDIRECT("'" &amp; LOOKUP(2,1/($A$7:A112&lt;&gt;""),$A$7:A112) &amp; "'!E:E"), "&gt;=" &amp; ($B$3-6),
    INDIRECT("'" &amp; LOOKUP(2,1/($A$7:A112&lt;&gt;""),$A$7:A112) &amp; "'!E:E"), "&lt;=" &amp; $B$3
  ),
0)</f>
        <v>0</v>
      </c>
    </row>
    <row r="113" spans="1:4" ht="50" customHeight="1" x14ac:dyDescent="0.2">
      <c r="A113" s="31"/>
      <c r="B113" s="30" t="s">
        <v>137</v>
      </c>
      <c r="C113" s="28">
        <f ca="1">IFERROR(
   COUNTIF(INDIRECT("'" &amp; LOOKUP("zzz",$A$7:A113) &amp; "'!C:C"), B113),
   0
)</f>
        <v>0</v>
      </c>
      <c r="D113" s="73">
        <f t="array" aca="1" ref="D113" ca="1">IFERROR(
  COUNTIFS(
    INDIRECT("'" &amp; LOOKUP(2,1/($A$7:A113&lt;&gt;""),$A$7:A113) &amp; "'!C:C"), $B113,
    INDIRECT("'" &amp; LOOKUP(2,1/($A$7:A113&lt;&gt;""),$A$7:A113) &amp; "'!E:E"), "&gt;=" &amp; ($B$3-6),
    INDIRECT("'" &amp; LOOKUP(2,1/($A$7:A113&lt;&gt;""),$A$7:A113) &amp; "'!E:E"), "&lt;=" &amp; $B$3
  ),
0)</f>
        <v>0</v>
      </c>
    </row>
    <row r="114" spans="1:4" ht="50" customHeight="1" x14ac:dyDescent="0.2">
      <c r="A114" s="31"/>
      <c r="B114" s="30" t="s">
        <v>138</v>
      </c>
      <c r="C114" s="28">
        <f ca="1">IFERROR(
   COUNTIF(INDIRECT("'" &amp; LOOKUP("zzz",$A$7:A114) &amp; "'!C:C"), B114),
   0
)</f>
        <v>0</v>
      </c>
      <c r="D114" s="73">
        <f t="array" aca="1" ref="D114" ca="1">IFERROR(
  COUNTIFS(
    INDIRECT("'" &amp; LOOKUP(2,1/($A$7:A114&lt;&gt;""),$A$7:A114) &amp; "'!C:C"), $B114,
    INDIRECT("'" &amp; LOOKUP(2,1/($A$7:A114&lt;&gt;""),$A$7:A114) &amp; "'!E:E"), "&gt;=" &amp; ($B$3-6),
    INDIRECT("'" &amp; LOOKUP(2,1/($A$7:A114&lt;&gt;""),$A$7:A114) &amp; "'!E:E"), "&lt;=" &amp; $B$3
  ),
0)</f>
        <v>0</v>
      </c>
    </row>
    <row r="115" spans="1:4" ht="50" customHeight="1" x14ac:dyDescent="0.2">
      <c r="A115" s="31"/>
      <c r="B115" s="30" t="s">
        <v>139</v>
      </c>
      <c r="C115" s="28">
        <f ca="1">IFERROR(
   COUNTIF(INDIRECT("'" &amp; LOOKUP("zzz",$A$7:A115) &amp; "'!C:C"), B115),
   0
)</f>
        <v>0</v>
      </c>
      <c r="D115" s="73">
        <f t="array" aca="1" ref="D115" ca="1">IFERROR(
  COUNTIFS(
    INDIRECT("'" &amp; LOOKUP(2,1/($A$7:A115&lt;&gt;""),$A$7:A115) &amp; "'!C:C"), $B115,
    INDIRECT("'" &amp; LOOKUP(2,1/($A$7:A115&lt;&gt;""),$A$7:A115) &amp; "'!E:E"), "&gt;=" &amp; ($B$3-6),
    INDIRECT("'" &amp; LOOKUP(2,1/($A$7:A115&lt;&gt;""),$A$7:A115) &amp; "'!E:E"), "&lt;=" &amp; $B$3
  ),
0)</f>
        <v>0</v>
      </c>
    </row>
    <row r="116" spans="1:4" ht="50" customHeight="1" x14ac:dyDescent="0.2">
      <c r="A116" s="31"/>
      <c r="B116" s="30" t="s">
        <v>140</v>
      </c>
      <c r="C116" s="28">
        <f ca="1">IFERROR(
   COUNTIF(INDIRECT("'" &amp; LOOKUP("zzz",$A$7:A116) &amp; "'!C:C"), B116),
   0
)</f>
        <v>0</v>
      </c>
      <c r="D116" s="73">
        <f t="array" aca="1" ref="D116" ca="1">IFERROR(
  COUNTIFS(
    INDIRECT("'" &amp; LOOKUP(2,1/($A$7:A116&lt;&gt;""),$A$7:A116) &amp; "'!C:C"), $B116,
    INDIRECT("'" &amp; LOOKUP(2,1/($A$7:A116&lt;&gt;""),$A$7:A116) &amp; "'!E:E"), "&gt;=" &amp; ($B$3-6),
    INDIRECT("'" &amp; LOOKUP(2,1/($A$7:A116&lt;&gt;""),$A$7:A116) &amp; "'!E:E"), "&lt;=" &amp; $B$3
  ),
0)</f>
        <v>0</v>
      </c>
    </row>
    <row r="117" spans="1:4" ht="50" customHeight="1" x14ac:dyDescent="0.2">
      <c r="A117" s="31"/>
      <c r="B117" s="30" t="s">
        <v>141</v>
      </c>
      <c r="C117" s="28">
        <f ca="1">IFERROR(
   COUNTIF(INDIRECT("'" &amp; LOOKUP("zzz",$A$7:A117) &amp; "'!C:C"), B117),
   0
)</f>
        <v>0</v>
      </c>
      <c r="D117" s="73">
        <f t="array" aca="1" ref="D117" ca="1">IFERROR(
  COUNTIFS(
    INDIRECT("'" &amp; LOOKUP(2,1/($A$7:A117&lt;&gt;""),$A$7:A117) &amp; "'!C:C"), $B117,
    INDIRECT("'" &amp; LOOKUP(2,1/($A$7:A117&lt;&gt;""),$A$7:A117) &amp; "'!E:E"), "&gt;=" &amp; ($B$3-6),
    INDIRECT("'" &amp; LOOKUP(2,1/($A$7:A117&lt;&gt;""),$A$7:A117) &amp; "'!E:E"), "&lt;=" &amp; $B$3
  ),
0)</f>
        <v>0</v>
      </c>
    </row>
    <row r="118" spans="1:4" ht="50" customHeight="1" x14ac:dyDescent="0.2">
      <c r="A118" s="65"/>
      <c r="B118" s="66" t="s">
        <v>142</v>
      </c>
      <c r="C118" s="28">
        <f ca="1">IFERROR(
   COUNTIF(INDIRECT("'" &amp; LOOKUP("zzz",$A$7:A118) &amp; "'!C:C"), B118),
   0
)</f>
        <v>0</v>
      </c>
      <c r="D118" s="73">
        <f t="array" aca="1" ref="D118" ca="1">IFERROR(
  COUNTIFS(
    INDIRECT("'" &amp; LOOKUP(2,1/($A$7:A118&lt;&gt;""),$A$7:A118) &amp; "'!C:C"), $B118,
    INDIRECT("'" &amp; LOOKUP(2,1/($A$7:A118&lt;&gt;""),$A$7:A118) &amp; "'!E:E"), "&gt;=" &amp; ($B$3-6),
    INDIRECT("'" &amp; LOOKUP(2,1/($A$7:A118&lt;&gt;""),$A$7:A118) &amp; "'!E:E"), "&lt;=" &amp; $B$3
  ),
0)</f>
        <v>0</v>
      </c>
    </row>
    <row r="119" spans="1:4" ht="50" customHeight="1" x14ac:dyDescent="0.2">
      <c r="A119" s="81"/>
      <c r="B119" s="85" t="s">
        <v>143</v>
      </c>
      <c r="C119" s="80">
        <f ca="1">IFERROR(
   COUNTIF(INDIRECT("'" &amp; LOOKUP("zzz",$A$7:A119) &amp; "'!C:C"), B119),
   0
)</f>
        <v>0</v>
      </c>
      <c r="D119" s="87">
        <f t="array" aca="1" ref="D119" ca="1">IFERROR(
  COUNTIFS(
    INDIRECT("'" &amp; LOOKUP(2,1/($A$7:A119&lt;&gt;""),$A$7:A119) &amp; "'!C:C"), $B119,
    INDIRECT("'" &amp; LOOKUP(2,1/($A$7:A119&lt;&gt;""),$A$7:A119) &amp; "'!E:E"), "&gt;=" &amp; ($B$3-6),
    INDIRECT("'" &amp; LOOKUP(2,1/($A$7:A119&lt;&gt;""),$A$7:A119) &amp; "'!E:E"), "&lt;=" &amp; $B$3
  ),
0)</f>
        <v>0</v>
      </c>
    </row>
    <row r="120" spans="1:4" ht="50" customHeight="1" x14ac:dyDescent="0.2">
      <c r="A120" s="24" t="s">
        <v>22</v>
      </c>
      <c r="B120" s="29" t="s">
        <v>144</v>
      </c>
      <c r="C120" s="24">
        <f ca="1">IFERROR(
   COUNTIF(INDIRECT("'" &amp; LOOKUP("zzz",$A$7:A120) &amp; "'!C:C"), B120),
   0
)</f>
        <v>0</v>
      </c>
      <c r="D120" s="88">
        <f t="array" aca="1" ref="D120" ca="1">IFERROR(
  COUNTIFS(
    INDIRECT("'" &amp; LOOKUP(2,1/($A$7:A120&lt;&gt;""),$A$7:A120) &amp; "'!C:C"), $B120,
    INDIRECT("'" &amp; LOOKUP(2,1/($A$7:A120&lt;&gt;""),$A$7:A120) &amp; "'!E:E"), "&gt;=" &amp; ($B$3-6),
    INDIRECT("'" &amp; LOOKUP(2,1/($A$7:A120&lt;&gt;""),$A$7:A120) &amp; "'!E:E"), "&lt;=" &amp; $B$3
  ),
0)</f>
        <v>0</v>
      </c>
    </row>
    <row r="121" spans="1:4" ht="50" customHeight="1" x14ac:dyDescent="0.2">
      <c r="A121" s="24"/>
      <c r="B121" s="29" t="s">
        <v>145</v>
      </c>
      <c r="C121" s="28">
        <f ca="1">IFERROR(
   COUNTIF(INDIRECT("'" &amp; LOOKUP("zzz",$A$7:A121) &amp; "'!C:C"), B121),
   0
)</f>
        <v>0</v>
      </c>
      <c r="D121" s="73">
        <f t="array" aca="1" ref="D121" ca="1">IFERROR(
  COUNTIFS(
    INDIRECT("'" &amp; LOOKUP(2,1/($A$7:A121&lt;&gt;""),$A$7:A121) &amp; "'!C:C"), $B121,
    INDIRECT("'" &amp; LOOKUP(2,1/($A$7:A121&lt;&gt;""),$A$7:A121) &amp; "'!E:E"), "&gt;=" &amp; ($B$3-6),
    INDIRECT("'" &amp; LOOKUP(2,1/($A$7:A121&lt;&gt;""),$A$7:A121) &amp; "'!E:E"), "&lt;=" &amp; $B$3
  ),
0)</f>
        <v>0</v>
      </c>
    </row>
    <row r="122" spans="1:4" ht="50" customHeight="1" x14ac:dyDescent="0.2">
      <c r="A122" s="24"/>
      <c r="B122" s="29" t="s">
        <v>146</v>
      </c>
      <c r="C122" s="28">
        <f ca="1">IFERROR(
   COUNTIF(INDIRECT("'" &amp; LOOKUP("zzz",$A$7:A122) &amp; "'!C:C"), B122),
   0
)</f>
        <v>0</v>
      </c>
      <c r="D122" s="73">
        <f t="array" aca="1" ref="D122" ca="1">IFERROR(
  COUNTIFS(
    INDIRECT("'" &amp; LOOKUP(2,1/($A$7:A122&lt;&gt;""),$A$7:A122) &amp; "'!C:C"), $B122,
    INDIRECT("'" &amp; LOOKUP(2,1/($A$7:A122&lt;&gt;""),$A$7:A122) &amp; "'!E:E"), "&gt;=" &amp; ($B$3-6),
    INDIRECT("'" &amp; LOOKUP(2,1/($A$7:A122&lt;&gt;""),$A$7:A122) &amp; "'!E:E"), "&lt;=" &amp; $B$3
  ),
0)</f>
        <v>0</v>
      </c>
    </row>
    <row r="123" spans="1:4" ht="50" customHeight="1" x14ac:dyDescent="0.2">
      <c r="A123" s="24"/>
      <c r="B123" s="29" t="s">
        <v>147</v>
      </c>
      <c r="C123" s="28">
        <f ca="1">IFERROR(
   COUNTIF(INDIRECT("'" &amp; LOOKUP("zzz",$A$7:A123) &amp; "'!C:C"), B123),
   0
)</f>
        <v>0</v>
      </c>
      <c r="D123" s="73">
        <f t="array" aca="1" ref="D123" ca="1">IFERROR(
  COUNTIFS(
    INDIRECT("'" &amp; LOOKUP(2,1/($A$7:A123&lt;&gt;""),$A$7:A123) &amp; "'!C:C"), $B123,
    INDIRECT("'" &amp; LOOKUP(2,1/($A$7:A123&lt;&gt;""),$A$7:A123) &amp; "'!E:E"), "&gt;=" &amp; ($B$3-6),
    INDIRECT("'" &amp; LOOKUP(2,1/($A$7:A123&lt;&gt;""),$A$7:A123) &amp; "'!E:E"), "&lt;=" &amp; $B$3
  ),
0)</f>
        <v>0</v>
      </c>
    </row>
    <row r="124" spans="1:4" ht="50" customHeight="1" x14ac:dyDescent="0.2">
      <c r="A124" s="24"/>
      <c r="B124" s="29" t="s">
        <v>148</v>
      </c>
      <c r="C124" s="28">
        <f ca="1">IFERROR(
   COUNTIF(INDIRECT("'" &amp; LOOKUP("zzz",$A$7:A124) &amp; "'!C:C"), B124),
   0
)</f>
        <v>0</v>
      </c>
      <c r="D124" s="73">
        <f t="array" aca="1" ref="D124" ca="1">IFERROR(
  COUNTIFS(
    INDIRECT("'" &amp; LOOKUP(2,1/($A$7:A124&lt;&gt;""),$A$7:A124) &amp; "'!C:C"), $B124,
    INDIRECT("'" &amp; LOOKUP(2,1/($A$7:A124&lt;&gt;""),$A$7:A124) &amp; "'!E:E"), "&gt;=" &amp; ($B$3-6),
    INDIRECT("'" &amp; LOOKUP(2,1/($A$7:A124&lt;&gt;""),$A$7:A124) &amp; "'!E:E"), "&lt;=" &amp; $B$3
  ),
0)</f>
        <v>0</v>
      </c>
    </row>
    <row r="125" spans="1:4" ht="50" customHeight="1" x14ac:dyDescent="0.2">
      <c r="A125" s="73"/>
      <c r="B125" s="29" t="s">
        <v>149</v>
      </c>
      <c r="C125" s="28">
        <f ca="1">IFERROR(
   COUNTIF(INDIRECT("'" &amp; LOOKUP("zzz",$A$7:A125) &amp; "'!C:C"), B125),
   0
)</f>
        <v>0</v>
      </c>
      <c r="D125" s="73">
        <f t="array" aca="1" ref="D125" ca="1">IFERROR(
  COUNTIFS(
    INDIRECT("'" &amp; LOOKUP(2,1/($A$7:A125&lt;&gt;""),$A$7:A125) &amp; "'!C:C"), $B125,
    INDIRECT("'" &amp; LOOKUP(2,1/($A$7:A125&lt;&gt;""),$A$7:A125) &amp; "'!E:E"), "&gt;=" &amp; ($B$3-6),
    INDIRECT("'" &amp; LOOKUP(2,1/($A$7:A125&lt;&gt;""),$A$7:A125) &amp; "'!E:E"), "&lt;=" &amp; $B$3
  ),
0)</f>
        <v>0</v>
      </c>
    </row>
    <row r="126" spans="1:4" ht="50" customHeight="1" x14ac:dyDescent="0.2">
      <c r="A126" s="28"/>
      <c r="B126" s="29" t="s">
        <v>150</v>
      </c>
      <c r="C126" s="28">
        <f ca="1">IFERROR(
   COUNTIF(INDIRECT("'" &amp; LOOKUP("zzz",$A$7:A126) &amp; "'!C:C"), B126),
   0
)</f>
        <v>0</v>
      </c>
      <c r="D126" s="73">
        <f t="array" aca="1" ref="D126" ca="1">IFERROR(
  COUNTIFS(
    INDIRECT("'" &amp; LOOKUP(2,1/($A$7:A126&lt;&gt;""),$A$7:A126) &amp; "'!C:C"), $B126,
    INDIRECT("'" &amp; LOOKUP(2,1/($A$7:A126&lt;&gt;""),$A$7:A126) &amp; "'!E:E"), "&gt;=" &amp; ($B$3-6),
    INDIRECT("'" &amp; LOOKUP(2,1/($A$7:A126&lt;&gt;""),$A$7:A126) &amp; "'!E:E"), "&lt;=" &amp; $B$3
  ),
0)</f>
        <v>0</v>
      </c>
    </row>
    <row r="127" spans="1:4" ht="50" customHeight="1" x14ac:dyDescent="0.2">
      <c r="A127" s="28"/>
      <c r="B127" s="29" t="s">
        <v>151</v>
      </c>
      <c r="C127" s="28">
        <f ca="1">IFERROR(
   COUNTIF(INDIRECT("'" &amp; LOOKUP("zzz",$A$7:A127) &amp; "'!C:C"), B127),
   0
)</f>
        <v>0</v>
      </c>
      <c r="D127" s="73">
        <f t="array" aca="1" ref="D127" ca="1">IFERROR(
  COUNTIFS(
    INDIRECT("'" &amp; LOOKUP(2,1/($A$7:A127&lt;&gt;""),$A$7:A127) &amp; "'!C:C"), $B127,
    INDIRECT("'" &amp; LOOKUP(2,1/($A$7:A127&lt;&gt;""),$A$7:A127) &amp; "'!E:E"), "&gt;=" &amp; ($B$3-6),
    INDIRECT("'" &amp; LOOKUP(2,1/($A$7:A127&lt;&gt;""),$A$7:A127) &amp; "'!E:E"), "&lt;=" &amp; $B$3
  ),
0)</f>
        <v>0</v>
      </c>
    </row>
    <row r="128" spans="1:4" ht="50" customHeight="1" x14ac:dyDescent="0.2">
      <c r="A128" s="28"/>
      <c r="B128" s="29" t="s">
        <v>152</v>
      </c>
      <c r="C128" s="28">
        <f ca="1">IFERROR(
   COUNTIF(INDIRECT("'" &amp; LOOKUP("zzz",$A$7:A128) &amp; "'!C:C"), B128),
   0
)</f>
        <v>0</v>
      </c>
      <c r="D128" s="73">
        <f t="array" aca="1" ref="D128" ca="1">IFERROR(
  COUNTIFS(
    INDIRECT("'" &amp; LOOKUP(2,1/($A$7:A128&lt;&gt;""),$A$7:A128) &amp; "'!C:C"), $B128,
    INDIRECT("'" &amp; LOOKUP(2,1/($A$7:A128&lt;&gt;""),$A$7:A128) &amp; "'!E:E"), "&gt;=" &amp; ($B$3-6),
    INDIRECT("'" &amp; LOOKUP(2,1/($A$7:A128&lt;&gt;""),$A$7:A128) &amp; "'!E:E"), "&lt;=" &amp; $B$3
  ),
0)</f>
        <v>0</v>
      </c>
    </row>
    <row r="129" spans="1:4" ht="50" customHeight="1" x14ac:dyDescent="0.2">
      <c r="A129" s="80"/>
      <c r="B129" s="75" t="s">
        <v>153</v>
      </c>
      <c r="C129" s="80">
        <f ca="1">IFERROR(
   COUNTIF(INDIRECT("'" &amp; LOOKUP("zzz",$A$7:A129) &amp; "'!C:C"), B129),
   0
)</f>
        <v>0</v>
      </c>
      <c r="D129" s="87">
        <f t="array" aca="1" ref="D129" ca="1">IFERROR(
  COUNTIFS(
    INDIRECT("'" &amp; LOOKUP(2,1/($A$7:A129&lt;&gt;""),$A$7:A129) &amp; "'!C:C"), $B129,
    INDIRECT("'" &amp; LOOKUP(2,1/($A$7:A129&lt;&gt;""),$A$7:A129) &amp; "'!E:E"), "&gt;=" &amp; ($B$3-6),
    INDIRECT("'" &amp; LOOKUP(2,1/($A$7:A129&lt;&gt;""),$A$7:A129) &amp; "'!E:E"), "&lt;=" &amp; $B$3
  ),
0)</f>
        <v>0</v>
      </c>
    </row>
    <row r="130" spans="1:4" ht="50" customHeight="1" x14ac:dyDescent="0.2">
      <c r="A130" s="69" t="s">
        <v>23</v>
      </c>
      <c r="B130" s="48" t="s">
        <v>154</v>
      </c>
      <c r="C130" s="47">
        <f ca="1">IFERROR(
   COUNTIF(INDIRECT("'" &amp; LOOKUP("zzz",$A$7:A130) &amp; "'!C:C"), B130),
   0
)</f>
        <v>0</v>
      </c>
      <c r="D130" s="88">
        <f t="array" aca="1" ref="D130" ca="1">IFERROR(
  COUNTIFS(
    INDIRECT("'" &amp; LOOKUP(2,1/($A$7:A130&lt;&gt;""),$A$7:A130) &amp; "'!C:C"), $B130,
    INDIRECT("'" &amp; LOOKUP(2,1/($A$7:A130&lt;&gt;""),$A$7:A130) &amp; "'!E:E"), "&gt;=" &amp; ($B$3-6),
    INDIRECT("'" &amp; LOOKUP(2,1/($A$7:A130&lt;&gt;""),$A$7:A130) &amp; "'!E:E"), "&lt;=" &amp; $B$3
  ),
0)</f>
        <v>0</v>
      </c>
    </row>
    <row r="131" spans="1:4" ht="50" customHeight="1" x14ac:dyDescent="0.2">
      <c r="A131" s="31"/>
      <c r="B131" s="30" t="s">
        <v>155</v>
      </c>
      <c r="C131" s="28">
        <f ca="1">IFERROR(
   COUNTIF(INDIRECT("'" &amp; LOOKUP("zzz",$A$7:A131) &amp; "'!C:C"), B131),
   0
)</f>
        <v>0</v>
      </c>
      <c r="D131" s="73">
        <f t="array" aca="1" ref="D131" ca="1">IFERROR(
  COUNTIFS(
    INDIRECT("'" &amp; LOOKUP(2,1/($A$7:A131&lt;&gt;""),$A$7:A131) &amp; "'!C:C"), $B131,
    INDIRECT("'" &amp; LOOKUP(2,1/($A$7:A131&lt;&gt;""),$A$7:A131) &amp; "'!E:E"), "&gt;=" &amp; ($B$3-6),
    INDIRECT("'" &amp; LOOKUP(2,1/($A$7:A131&lt;&gt;""),$A$7:A131) &amp; "'!E:E"), "&lt;=" &amp; $B$3
  ),
0)</f>
        <v>0</v>
      </c>
    </row>
    <row r="132" spans="1:4" ht="50" customHeight="1" x14ac:dyDescent="0.2">
      <c r="A132" s="31"/>
      <c r="B132" s="30" t="s">
        <v>156</v>
      </c>
      <c r="C132" s="28">
        <f ca="1">IFERROR(
   COUNTIF(INDIRECT("'" &amp; LOOKUP("zzz",$A$7:A132) &amp; "'!C:C"), B132),
   0
)</f>
        <v>0</v>
      </c>
      <c r="D132" s="73">
        <f t="array" aca="1" ref="D132" ca="1">IFERROR(
  COUNTIFS(
    INDIRECT("'" &amp; LOOKUP(2,1/($A$7:A132&lt;&gt;""),$A$7:A132) &amp; "'!C:C"), $B132,
    INDIRECT("'" &amp; LOOKUP(2,1/($A$7:A132&lt;&gt;""),$A$7:A132) &amp; "'!E:E"), "&gt;=" &amp; ($B$3-6),
    INDIRECT("'" &amp; LOOKUP(2,1/($A$7:A132&lt;&gt;""),$A$7:A132) &amp; "'!E:E"), "&lt;=" &amp; $B$3
  ),
0)</f>
        <v>0</v>
      </c>
    </row>
    <row r="133" spans="1:4" ht="50" customHeight="1" x14ac:dyDescent="0.2">
      <c r="A133" s="65"/>
      <c r="B133" s="66" t="s">
        <v>157</v>
      </c>
      <c r="C133" s="38">
        <f ca="1">IFERROR(
   COUNTIF(INDIRECT("'" &amp; LOOKUP("zzz",$A$7:A133) &amp; "'!C:C"), B133),
   0
)</f>
        <v>0</v>
      </c>
      <c r="D133" s="73">
        <f t="array" aca="1" ref="D133" ca="1">IFERROR(
  COUNTIFS(
    INDIRECT("'" &amp; LOOKUP(2,1/($A$7:A133&lt;&gt;""),$A$7:A133) &amp; "'!C:C"), $B133,
    INDIRECT("'" &amp; LOOKUP(2,1/($A$7:A133&lt;&gt;""),$A$7:A133) &amp; "'!E:E"), "&gt;=" &amp; ($B$3-6),
    INDIRECT("'" &amp; LOOKUP(2,1/($A$7:A133&lt;&gt;""),$A$7:A133) &amp; "'!E:E"), "&lt;=" &amp; $B$3
  ),
0)</f>
        <v>0</v>
      </c>
    </row>
    <row r="134" spans="1:4" ht="50" customHeight="1" x14ac:dyDescent="0.2">
      <c r="A134" s="81"/>
      <c r="B134" s="85" t="s">
        <v>158</v>
      </c>
      <c r="C134" s="80">
        <f ca="1">IFERROR(
   COUNTIF(INDIRECT("'" &amp; LOOKUP("zzz",$A$7:A134) &amp; "'!C:C"), B134),
   0
)</f>
        <v>0</v>
      </c>
      <c r="D134" s="110">
        <f t="array" aca="1" ref="D134" ca="1">IFERROR(
  COUNTIFS(
    INDIRECT("'" &amp; LOOKUP(2,1/($A$7:A134&lt;&gt;""),$A$7:A134) &amp; "'!C:C"), $B134,
    INDIRECT("'" &amp; LOOKUP(2,1/($A$7:A134&lt;&gt;""),$A$7:A134) &amp; "'!E:E"), "&gt;=" &amp; ($B$3-6),
    INDIRECT("'" &amp; LOOKUP(2,1/($A$7:A134&lt;&gt;""),$A$7:A134) &amp; "'!E:E"), "&lt;=" &amp; $B$3
  ),
0)</f>
        <v>0</v>
      </c>
    </row>
    <row r="135" spans="1:4" ht="50" customHeight="1" x14ac:dyDescent="0.2">
      <c r="A135" s="24" t="s">
        <v>24</v>
      </c>
      <c r="B135" s="25" t="s">
        <v>159</v>
      </c>
      <c r="C135" s="24">
        <f ca="1">IFERROR(
   COUNTIF(INDIRECT("'" &amp; LOOKUP("zzz",$A$7:A135) &amp; "'!C:C"), B135),
   0
)</f>
        <v>0</v>
      </c>
      <c r="D135" s="109">
        <f t="array" aca="1" ref="D135" ca="1">IFERROR(
  COUNTIFS(
    INDIRECT("'" &amp; LOOKUP(2,1/($A$7:A135&lt;&gt;""),$A$7:A135) &amp; "'!C:C"), $B135,
    INDIRECT("'" &amp; LOOKUP(2,1/($A$7:A135&lt;&gt;""),$A$7:A135) &amp; "'!E:E"), "&gt;=" &amp; ($B$3-6),
    INDIRECT("'" &amp; LOOKUP(2,1/($A$7:A135&lt;&gt;""),$A$7:A135) &amp; "'!E:E"), "&lt;=" &amp; $B$3
  ),
0)</f>
        <v>0</v>
      </c>
    </row>
    <row r="136" spans="1:4" ht="50" customHeight="1" x14ac:dyDescent="0.2">
      <c r="A136" s="28"/>
      <c r="B136" s="29" t="s">
        <v>160</v>
      </c>
      <c r="C136" s="28">
        <f ca="1">IFERROR(
   COUNTIF(INDIRECT("'" &amp; LOOKUP("zzz",$A$7:A136) &amp; "'!C:C"), B136),
   0
)</f>
        <v>0</v>
      </c>
      <c r="D136" s="73">
        <f t="array" aca="1" ref="D136" ca="1">IFERROR(
  COUNTIFS(
    INDIRECT("'" &amp; LOOKUP(2,1/($A$7:A136&lt;&gt;""),$A$7:A136) &amp; "'!C:C"), $B136,
    INDIRECT("'" &amp; LOOKUP(2,1/($A$7:A136&lt;&gt;""),$A$7:A136) &amp; "'!E:E"), "&gt;=" &amp; ($B$3-6),
    INDIRECT("'" &amp; LOOKUP(2,1/($A$7:A136&lt;&gt;""),$A$7:A136) &amp; "'!E:E"), "&lt;=" &amp; $B$3
  ),
0)</f>
        <v>0</v>
      </c>
    </row>
    <row r="137" spans="1:4" ht="50" customHeight="1" x14ac:dyDescent="0.2">
      <c r="A137" s="28"/>
      <c r="B137" s="29" t="s">
        <v>161</v>
      </c>
      <c r="C137" s="28">
        <f ca="1">IFERROR(
   COUNTIF(INDIRECT("'" &amp; LOOKUP("zzz",$A$7:A137) &amp; "'!C:C"), B137),
   0
)</f>
        <v>0</v>
      </c>
      <c r="D137" s="73">
        <f t="array" aca="1" ref="D137" ca="1">IFERROR(
  COUNTIFS(
    INDIRECT("'" &amp; LOOKUP(2,1/($A$7:A137&lt;&gt;""),$A$7:A137) &amp; "'!C:C"), $B137,
    INDIRECT("'" &amp; LOOKUP(2,1/($A$7:A137&lt;&gt;""),$A$7:A137) &amp; "'!E:E"), "&gt;=" &amp; ($B$3-6),
    INDIRECT("'" &amp; LOOKUP(2,1/($A$7:A137&lt;&gt;""),$A$7:A137) &amp; "'!E:E"), "&lt;=" &amp; $B$3
  ),
0)</f>
        <v>0</v>
      </c>
    </row>
    <row r="138" spans="1:4" ht="50" customHeight="1" x14ac:dyDescent="0.2">
      <c r="A138" s="28"/>
      <c r="B138" s="29" t="s">
        <v>162</v>
      </c>
      <c r="C138" s="28">
        <f ca="1">IFERROR(
   COUNTIF(INDIRECT("'" &amp; LOOKUP("zzz",$A$7:A138) &amp; "'!C:C"), B138),
   0
)</f>
        <v>0</v>
      </c>
      <c r="D138" s="73">
        <f t="array" aca="1" ref="D138" ca="1">IFERROR(
  COUNTIFS(
    INDIRECT("'" &amp; LOOKUP(2,1/($A$7:A138&lt;&gt;""),$A$7:A138) &amp; "'!C:C"), $B138,
    INDIRECT("'" &amp; LOOKUP(2,1/($A$7:A138&lt;&gt;""),$A$7:A138) &amp; "'!E:E"), "&gt;=" &amp; ($B$3-6),
    INDIRECT("'" &amp; LOOKUP(2,1/($A$7:A138&lt;&gt;""),$A$7:A138) &amp; "'!E:E"), "&lt;=" &amp; $B$3
  ),
0)</f>
        <v>0</v>
      </c>
    </row>
    <row r="139" spans="1:4" ht="50" customHeight="1" x14ac:dyDescent="0.2">
      <c r="A139" s="28"/>
      <c r="B139" s="29" t="s">
        <v>163</v>
      </c>
      <c r="C139" s="28">
        <f ca="1">IFERROR(
   COUNTIF(INDIRECT("'" &amp; LOOKUP("zzz",$A$7:A139) &amp; "'!C:C"), B139),
   0
)</f>
        <v>0</v>
      </c>
      <c r="D139" s="73">
        <f t="array" aca="1" ref="D139" ca="1">IFERROR(
  COUNTIFS(
    INDIRECT("'" &amp; LOOKUP(2,1/($A$7:A139&lt;&gt;""),$A$7:A139) &amp; "'!C:C"), $B139,
    INDIRECT("'" &amp; LOOKUP(2,1/($A$7:A139&lt;&gt;""),$A$7:A139) &amp; "'!E:E"), "&gt;=" &amp; ($B$3-6),
    INDIRECT("'" &amp; LOOKUP(2,1/($A$7:A139&lt;&gt;""),$A$7:A139) &amp; "'!E:E"), "&lt;=" &amp; $B$3
  ),
0)</f>
        <v>0</v>
      </c>
    </row>
    <row r="140" spans="1:4" ht="50" customHeight="1" x14ac:dyDescent="0.2">
      <c r="A140" s="28"/>
      <c r="B140" s="29" t="s">
        <v>164</v>
      </c>
      <c r="C140" s="28">
        <f ca="1">IFERROR(
   COUNTIF(INDIRECT("'" &amp; LOOKUP("zzz",$A$7:A140) &amp; "'!C:C"), B140),
   0
)</f>
        <v>0</v>
      </c>
      <c r="D140" s="73">
        <f t="array" aca="1" ref="D140" ca="1">IFERROR(
  COUNTIFS(
    INDIRECT("'" &amp; LOOKUP(2,1/($A$7:A140&lt;&gt;""),$A$7:A140) &amp; "'!C:C"), $B140,
    INDIRECT("'" &amp; LOOKUP(2,1/($A$7:A140&lt;&gt;""),$A$7:A140) &amp; "'!E:E"), "&gt;=" &amp; ($B$3-6),
    INDIRECT("'" &amp; LOOKUP(2,1/($A$7:A140&lt;&gt;""),$A$7:A140) &amp; "'!E:E"), "&lt;=" &amp; $B$3
  ),
0)</f>
        <v>0</v>
      </c>
    </row>
    <row r="141" spans="1:4" ht="50" customHeight="1" x14ac:dyDescent="0.2">
      <c r="A141" s="28"/>
      <c r="B141" s="29" t="s">
        <v>165</v>
      </c>
      <c r="C141" s="28">
        <f ca="1">IFERROR(
   COUNTIF(INDIRECT("'" &amp; LOOKUP("zzz",$A$7:A141) &amp; "'!C:C"), B141),
   0
)</f>
        <v>0</v>
      </c>
      <c r="D141" s="73">
        <f t="array" aca="1" ref="D141" ca="1">IFERROR(
  COUNTIFS(
    INDIRECT("'" &amp; LOOKUP(2,1/($A$7:A141&lt;&gt;""),$A$7:A141) &amp; "'!C:C"), $B141,
    INDIRECT("'" &amp; LOOKUP(2,1/($A$7:A141&lt;&gt;""),$A$7:A141) &amp; "'!E:E"), "&gt;=" &amp; ($B$3-6),
    INDIRECT("'" &amp; LOOKUP(2,1/($A$7:A141&lt;&gt;""),$A$7:A141) &amp; "'!E:E"), "&lt;=" &amp; $B$3
  ),
0)</f>
        <v>0</v>
      </c>
    </row>
    <row r="142" spans="1:4" ht="50" customHeight="1" x14ac:dyDescent="0.2">
      <c r="A142" s="28"/>
      <c r="B142" s="29" t="s">
        <v>166</v>
      </c>
      <c r="C142" s="28">
        <f ca="1">IFERROR(
   COUNTIF(INDIRECT("'" &amp; LOOKUP("zzz",$A$7:A142) &amp; "'!C:C"), B142),
   0
)</f>
        <v>0</v>
      </c>
      <c r="D142" s="73">
        <f t="array" aca="1" ref="D142" ca="1">IFERROR(
  COUNTIFS(
    INDIRECT("'" &amp; LOOKUP(2,1/($A$7:A142&lt;&gt;""),$A$7:A142) &amp; "'!C:C"), $B142,
    INDIRECT("'" &amp; LOOKUP(2,1/($A$7:A142&lt;&gt;""),$A$7:A142) &amp; "'!E:E"), "&gt;=" &amp; ($B$3-6),
    INDIRECT("'" &amp; LOOKUP(2,1/($A$7:A142&lt;&gt;""),$A$7:A142) &amp; "'!E:E"), "&lt;=" &amp; $B$3
  ),
0)</f>
        <v>0</v>
      </c>
    </row>
    <row r="143" spans="1:4" ht="50" customHeight="1" x14ac:dyDescent="0.2">
      <c r="A143" s="28"/>
      <c r="B143" s="29" t="s">
        <v>167</v>
      </c>
      <c r="C143" s="28">
        <f ca="1">IFERROR(
   COUNTIF(INDIRECT("'" &amp; LOOKUP("zzz",$A$7:A143) &amp; "'!C:C"), B143),
   0
)</f>
        <v>0</v>
      </c>
      <c r="D143" s="73">
        <f t="array" aca="1" ref="D143" ca="1">IFERROR(
  COUNTIFS(
    INDIRECT("'" &amp; LOOKUP(2,1/($A$7:A143&lt;&gt;""),$A$7:A143) &amp; "'!C:C"), $B143,
    INDIRECT("'" &amp; LOOKUP(2,1/($A$7:A143&lt;&gt;""),$A$7:A143) &amp; "'!E:E"), "&gt;=" &amp; ($B$3-6),
    INDIRECT("'" &amp; LOOKUP(2,1/($A$7:A143&lt;&gt;""),$A$7:A143) &amp; "'!E:E"), "&lt;=" &amp; $B$3
  ),
0)</f>
        <v>0</v>
      </c>
    </row>
    <row r="144" spans="1:4" ht="50" customHeight="1" x14ac:dyDescent="0.2">
      <c r="A144" s="28"/>
      <c r="B144" s="29" t="s">
        <v>168</v>
      </c>
      <c r="C144" s="28">
        <f ca="1">IFERROR(
   COUNTIF(INDIRECT("'" &amp; LOOKUP("zzz",$A$7:A144) &amp; "'!C:C"), B144),
   0
)</f>
        <v>0</v>
      </c>
      <c r="D144" s="73">
        <f t="array" aca="1" ref="D144" ca="1">IFERROR(
  COUNTIFS(
    INDIRECT("'" &amp; LOOKUP(2,1/($A$7:A144&lt;&gt;""),$A$7:A144) &amp; "'!C:C"), $B144,
    INDIRECT("'" &amp; LOOKUP(2,1/($A$7:A144&lt;&gt;""),$A$7:A144) &amp; "'!E:E"), "&gt;=" &amp; ($B$3-6),
    INDIRECT("'" &amp; LOOKUP(2,1/($A$7:A144&lt;&gt;""),$A$7:A144) &amp; "'!E:E"), "&lt;=" &amp; $B$3
  ),
0)</f>
        <v>0</v>
      </c>
    </row>
    <row r="145" spans="1:4" ht="50" customHeight="1" x14ac:dyDescent="0.2">
      <c r="A145" s="31"/>
      <c r="B145" s="30" t="s">
        <v>169</v>
      </c>
      <c r="C145" s="28">
        <f ca="1">IFERROR(
   COUNTIF(INDIRECT("'" &amp; LOOKUP("zzz",$A$7:A145) &amp; "'!C:C"), B145),
   0
)</f>
        <v>0</v>
      </c>
      <c r="D145" s="73">
        <f t="array" aca="1" ref="D145" ca="1">IFERROR(
  COUNTIFS(
    INDIRECT("'" &amp; LOOKUP(2,1/($A$7:A145&lt;&gt;""),$A$7:A145) &amp; "'!C:C"), $B145,
    INDIRECT("'" &amp; LOOKUP(2,1/($A$7:A145&lt;&gt;""),$A$7:A145) &amp; "'!E:E"), "&gt;=" &amp; ($B$3-6),
    INDIRECT("'" &amp; LOOKUP(2,1/($A$7:A145&lt;&gt;""),$A$7:A145) &amp; "'!E:E"), "&lt;=" &amp; $B$3
  ),
0)</f>
        <v>0</v>
      </c>
    </row>
    <row r="146" spans="1:4" ht="50" customHeight="1" x14ac:dyDescent="0.2">
      <c r="A146" s="31"/>
      <c r="B146" s="30" t="s">
        <v>170</v>
      </c>
      <c r="C146" s="28">
        <f ca="1">IFERROR(
   COUNTIF(INDIRECT("'" &amp; LOOKUP("zzz",$A$7:A146) &amp; "'!C:C"), B146),
   0
)</f>
        <v>0</v>
      </c>
      <c r="D146" s="73">
        <f t="array" aca="1" ref="D146" ca="1">IFERROR(
  COUNTIFS(
    INDIRECT("'" &amp; LOOKUP(2,1/($A$7:A146&lt;&gt;""),$A$7:A146) &amp; "'!C:C"), $B146,
    INDIRECT("'" &amp; LOOKUP(2,1/($A$7:A146&lt;&gt;""),$A$7:A146) &amp; "'!E:E"), "&gt;=" &amp; ($B$3-6),
    INDIRECT("'" &amp; LOOKUP(2,1/($A$7:A146&lt;&gt;""),$A$7:A146) &amp; "'!E:E"), "&lt;=" &amp; $B$3
  ),
0)</f>
        <v>0</v>
      </c>
    </row>
    <row r="147" spans="1:4" ht="50" customHeight="1" x14ac:dyDescent="0.2">
      <c r="A147" s="79"/>
      <c r="B147" s="78" t="s">
        <v>171</v>
      </c>
      <c r="C147" s="77">
        <f ca="1">IFERROR(
   COUNTIF(INDIRECT("'" &amp; LOOKUP("zzz",$A$7:A147) &amp; "'!C:C"), B147),
   0
)</f>
        <v>0</v>
      </c>
      <c r="D147" s="87">
        <f t="array" aca="1" ref="D147" ca="1">IFERROR(
  COUNTIFS(
    INDIRECT("'" &amp; LOOKUP(2,1/($A$7:A147&lt;&gt;""),$A$7:A147) &amp; "'!C:C"), $B147,
    INDIRECT("'" &amp; LOOKUP(2,1/($A$7:A147&lt;&gt;""),$A$7:A147) &amp; "'!E:E"), "&gt;=" &amp; ($B$3-6),
    INDIRECT("'" &amp; LOOKUP(2,1/($A$7:A147&lt;&gt;""),$A$7:A147) &amp; "'!E:E"), "&lt;=" &amp; $B$3
  ),
0)</f>
        <v>0</v>
      </c>
    </row>
    <row r="148" spans="1:4" ht="50" customHeight="1" x14ac:dyDescent="0.2">
      <c r="A148" s="24" t="s">
        <v>25</v>
      </c>
      <c r="B148" s="25" t="s">
        <v>172</v>
      </c>
      <c r="C148" s="24">
        <f ca="1">IFERROR(
   COUNTIF(INDIRECT("'" &amp; LOOKUP("zzz",$A$7:A148) &amp; "'!C:C"), B148),
   0
)</f>
        <v>0</v>
      </c>
      <c r="D148" s="88">
        <f t="array" aca="1" ref="D148" ca="1">IFERROR(
  COUNTIFS(
    INDIRECT("'" &amp; LOOKUP(2,1/($A$7:A148&lt;&gt;""),$A$7:A148) &amp; "'!C:C"), $B148,
    INDIRECT("'" &amp; LOOKUP(2,1/($A$7:A148&lt;&gt;""),$A$7:A148) &amp; "'!E:E"), "&gt;=" &amp; ($B$3-6),
    INDIRECT("'" &amp; LOOKUP(2,1/($A$7:A148&lt;&gt;""),$A$7:A148) &amp; "'!E:E"), "&lt;=" &amp; $B$3
  ),
0)</f>
        <v>0</v>
      </c>
    </row>
    <row r="149" spans="1:4" ht="50" customHeight="1" x14ac:dyDescent="0.2">
      <c r="A149" s="28"/>
      <c r="B149" s="29" t="s">
        <v>173</v>
      </c>
      <c r="C149" s="28">
        <f ca="1">IFERROR(
   COUNTIF(INDIRECT("'" &amp; LOOKUP("zzz",$A$7:A149) &amp; "'!C:C"), B149),
   0
)</f>
        <v>0</v>
      </c>
      <c r="D149" s="73">
        <f t="array" aca="1" ref="D149" ca="1">IFERROR(
  COUNTIFS(
    INDIRECT("'" &amp; LOOKUP(2,1/($A$7:A149&lt;&gt;""),$A$7:A149) &amp; "'!C:C"), $B149,
    INDIRECT("'" &amp; LOOKUP(2,1/($A$7:A149&lt;&gt;""),$A$7:A149) &amp; "'!E:E"), "&gt;=" &amp; ($B$3-6),
    INDIRECT("'" &amp; LOOKUP(2,1/($A$7:A149&lt;&gt;""),$A$7:A149) &amp; "'!E:E"), "&lt;=" &amp; $B$3
  ),
0)</f>
        <v>0</v>
      </c>
    </row>
    <row r="150" spans="1:4" ht="50" customHeight="1" x14ac:dyDescent="0.2">
      <c r="A150" s="28"/>
      <c r="B150" s="29" t="s">
        <v>174</v>
      </c>
      <c r="C150" s="28">
        <f ca="1">IFERROR(
   COUNTIF(INDIRECT("'" &amp; LOOKUP("zzz",$A$7:A150) &amp; "'!C:C"), B150),
   0
)</f>
        <v>0</v>
      </c>
      <c r="D150" s="73">
        <f t="array" aca="1" ref="D150" ca="1">IFERROR(
  COUNTIFS(
    INDIRECT("'" &amp; LOOKUP(2,1/($A$7:A150&lt;&gt;""),$A$7:A150) &amp; "'!C:C"), $B150,
    INDIRECT("'" &amp; LOOKUP(2,1/($A$7:A150&lt;&gt;""),$A$7:A150) &amp; "'!E:E"), "&gt;=" &amp; ($B$3-6),
    INDIRECT("'" &amp; LOOKUP(2,1/($A$7:A150&lt;&gt;""),$A$7:A150) &amp; "'!E:E"), "&lt;=" &amp; $B$3
  ),
0)</f>
        <v>0</v>
      </c>
    </row>
    <row r="151" spans="1:4" ht="50" customHeight="1" x14ac:dyDescent="0.2">
      <c r="A151" s="28"/>
      <c r="B151" s="29" t="s">
        <v>175</v>
      </c>
      <c r="C151" s="28">
        <f ca="1">IFERROR(
   COUNTIF(INDIRECT("'" &amp; LOOKUP("zzz",$A$7:A151) &amp; "'!C:C"), B151),
   0
)</f>
        <v>0</v>
      </c>
      <c r="D151" s="73">
        <f t="array" aca="1" ref="D151" ca="1">IFERROR(
  COUNTIFS(
    INDIRECT("'" &amp; LOOKUP(2,1/($A$7:A151&lt;&gt;""),$A$7:A151) &amp; "'!C:C"), $B151,
    INDIRECT("'" &amp; LOOKUP(2,1/($A$7:A151&lt;&gt;""),$A$7:A151) &amp; "'!E:E"), "&gt;=" &amp; ($B$3-6),
    INDIRECT("'" &amp; LOOKUP(2,1/($A$7:A151&lt;&gt;""),$A$7:A151) &amp; "'!E:E"), "&lt;=" &amp; $B$3
  ),
0)</f>
        <v>0</v>
      </c>
    </row>
    <row r="152" spans="1:4" ht="50" customHeight="1" x14ac:dyDescent="0.2">
      <c r="A152" s="28"/>
      <c r="B152" s="29" t="s">
        <v>176</v>
      </c>
      <c r="C152" s="28">
        <f ca="1">IFERROR(
   COUNTIF(INDIRECT("'" &amp; LOOKUP("zzz",$A$7:A152) &amp; "'!C:C"), B152),
   0
)</f>
        <v>0</v>
      </c>
      <c r="D152" s="73">
        <f t="array" aca="1" ref="D152" ca="1">IFERROR(
  COUNTIFS(
    INDIRECT("'" &amp; LOOKUP(2,1/($A$7:A152&lt;&gt;""),$A$7:A152) &amp; "'!C:C"), $B152,
    INDIRECT("'" &amp; LOOKUP(2,1/($A$7:A152&lt;&gt;""),$A$7:A152) &amp; "'!E:E"), "&gt;=" &amp; ($B$3-6),
    INDIRECT("'" &amp; LOOKUP(2,1/($A$7:A152&lt;&gt;""),$A$7:A152) &amp; "'!E:E"), "&lt;=" &amp; $B$3
  ),
0)</f>
        <v>0</v>
      </c>
    </row>
    <row r="153" spans="1:4" ht="50" customHeight="1" x14ac:dyDescent="0.2">
      <c r="A153" s="28"/>
      <c r="B153" s="29" t="s">
        <v>177</v>
      </c>
      <c r="C153" s="28">
        <f ca="1">IFERROR(
   COUNTIF(INDIRECT("'" &amp; LOOKUP("zzz",$A$7:A153) &amp; "'!C:C"), B153),
   0
)</f>
        <v>0</v>
      </c>
      <c r="D153" s="73">
        <f t="array" aca="1" ref="D153" ca="1">IFERROR(
  COUNTIFS(
    INDIRECT("'" &amp; LOOKUP(2,1/($A$7:A153&lt;&gt;""),$A$7:A153) &amp; "'!C:C"), $B153,
    INDIRECT("'" &amp; LOOKUP(2,1/($A$7:A153&lt;&gt;""),$A$7:A153) &amp; "'!E:E"), "&gt;=" &amp; ($B$3-6),
    INDIRECT("'" &amp; LOOKUP(2,1/($A$7:A153&lt;&gt;""),$A$7:A153) &amp; "'!E:E"), "&lt;=" &amp; $B$3
  ),
0)</f>
        <v>0</v>
      </c>
    </row>
    <row r="154" spans="1:4" ht="50" customHeight="1" x14ac:dyDescent="0.2">
      <c r="A154" s="76"/>
      <c r="B154" s="75" t="s">
        <v>178</v>
      </c>
      <c r="C154" s="74">
        <f ca="1">IFERROR(
   COUNTIF(INDIRECT("'" &amp; LOOKUP("zzz",$A$7:A154) &amp; "'!C:C"), B154),
   0
)</f>
        <v>0</v>
      </c>
      <c r="D154" s="87">
        <f t="array" aca="1" ref="D154" ca="1">IFERROR(
  COUNTIFS(
    INDIRECT("'" &amp; LOOKUP(2,1/($A$7:A154&lt;&gt;""),$A$7:A154) &amp; "'!C:C"), $B154,
    INDIRECT("'" &amp; LOOKUP(2,1/($A$7:A154&lt;&gt;""),$A$7:A154) &amp; "'!E:E"), "&gt;=" &amp; ($B$3-6),
    INDIRECT("'" &amp; LOOKUP(2,1/($A$7:A154&lt;&gt;""),$A$7:A154) &amp; "'!E:E"), "&lt;=" &amp; $B$3
  ),
0)</f>
        <v>0</v>
      </c>
    </row>
    <row r="155" spans="1:4" ht="50" customHeight="1" x14ac:dyDescent="0.2">
      <c r="A155" s="69" t="s">
        <v>26</v>
      </c>
      <c r="B155" s="66" t="s">
        <v>179</v>
      </c>
      <c r="C155" s="47">
        <f ca="1">IFERROR(
   COUNTIF(INDIRECT("'" &amp; LOOKUP("zzz",$A$7:A155) &amp; "'!C:C"), B155),
   0
)</f>
        <v>0</v>
      </c>
      <c r="D155" s="88">
        <f t="array" aca="1" ref="D155" ca="1">IFERROR(
  COUNTIFS(
    INDIRECT("'" &amp; LOOKUP(2,1/($A$7:A155&lt;&gt;""),$A$7:A155) &amp; "'!C:C"), $B155,
    INDIRECT("'" &amp; LOOKUP(2,1/($A$7:A155&lt;&gt;""),$A$7:A155) &amp; "'!E:E"), "&gt;=" &amp; ($B$3-6),
    INDIRECT("'" &amp; LOOKUP(2,1/($A$7:A155&lt;&gt;""),$A$7:A155) &amp; "'!E:E"), "&lt;=" &amp; $B$3
  ),
0)</f>
        <v>0</v>
      </c>
    </row>
    <row r="156" spans="1:4" ht="50" customHeight="1" x14ac:dyDescent="0.2">
      <c r="A156" s="73"/>
      <c r="B156" s="29" t="s">
        <v>180</v>
      </c>
      <c r="C156" s="28">
        <f ca="1">IFERROR(
   COUNTIF(INDIRECT("'" &amp; LOOKUP("zzz",$A$7:A156) &amp; "'!C:C"), B156),
   0
)</f>
        <v>0</v>
      </c>
      <c r="D156" s="73">
        <f t="array" aca="1" ref="D156" ca="1">IFERROR(
  COUNTIFS(
    INDIRECT("'" &amp; LOOKUP(2,1/($A$7:A156&lt;&gt;""),$A$7:A156) &amp; "'!C:C"), $B156,
    INDIRECT("'" &amp; LOOKUP(2,1/($A$7:A156&lt;&gt;""),$A$7:A156) &amp; "'!E:E"), "&gt;=" &amp; ($B$3-6),
    INDIRECT("'" &amp; LOOKUP(2,1/($A$7:A156&lt;&gt;""),$A$7:A156) &amp; "'!E:E"), "&lt;=" &amp; $B$3
  ),
0)</f>
        <v>0</v>
      </c>
    </row>
    <row r="157" spans="1:4" ht="50" customHeight="1" x14ac:dyDescent="0.2">
      <c r="A157" s="73"/>
      <c r="B157" s="29" t="s">
        <v>181</v>
      </c>
      <c r="C157" s="28">
        <f ca="1">IFERROR(
   COUNTIF(INDIRECT("'" &amp; LOOKUP("zzz",$A$7:A157) &amp; "'!C:C"), B157),
   0
)</f>
        <v>0</v>
      </c>
      <c r="D157" s="73">
        <f t="array" aca="1" ref="D157" ca="1">IFERROR(
  COUNTIFS(
    INDIRECT("'" &amp; LOOKUP(2,1/($A$7:A157&lt;&gt;""),$A$7:A157) &amp; "'!C:C"), $B157,
    INDIRECT("'" &amp; LOOKUP(2,1/($A$7:A157&lt;&gt;""),$A$7:A157) &amp; "'!E:E"), "&gt;=" &amp; ($B$3-6),
    INDIRECT("'" &amp; LOOKUP(2,1/($A$7:A157&lt;&gt;""),$A$7:A157) &amp; "'!E:E"), "&lt;=" &amp; $B$3
  ),
0)</f>
        <v>0</v>
      </c>
    </row>
    <row r="158" spans="1:4" ht="50" customHeight="1" x14ac:dyDescent="0.2">
      <c r="A158" s="73"/>
      <c r="B158" s="29" t="s">
        <v>182</v>
      </c>
      <c r="C158" s="28">
        <f ca="1">IFERROR(
   COUNTIF(INDIRECT("'" &amp; LOOKUP("zzz",$A$7:A158) &amp; "'!C:C"), B158),
   0
)</f>
        <v>0</v>
      </c>
      <c r="D158" s="73">
        <f t="array" aca="1" ref="D158" ca="1">IFERROR(
  COUNTIFS(
    INDIRECT("'" &amp; LOOKUP(2,1/($A$7:A158&lt;&gt;""),$A$7:A158) &amp; "'!C:C"), $B158,
    INDIRECT("'" &amp; LOOKUP(2,1/($A$7:A158&lt;&gt;""),$A$7:A158) &amp; "'!E:E"), "&gt;=" &amp; ($B$3-6),
    INDIRECT("'" &amp; LOOKUP(2,1/($A$7:A158&lt;&gt;""),$A$7:A158) &amp; "'!E:E"), "&lt;=" &amp; $B$3
  ),
0)</f>
        <v>0</v>
      </c>
    </row>
    <row r="159" spans="1:4" ht="50" customHeight="1" x14ac:dyDescent="0.2">
      <c r="A159" s="73"/>
      <c r="B159" s="29" t="s">
        <v>183</v>
      </c>
      <c r="C159" s="28">
        <f ca="1">IFERROR(
   COUNTIF(INDIRECT("'" &amp; LOOKUP("zzz",$A$7:A159) &amp; "'!C:C"), B159),
   0
)</f>
        <v>0</v>
      </c>
      <c r="D159" s="73">
        <f t="array" aca="1" ref="D159" ca="1">IFERROR(
  COUNTIFS(
    INDIRECT("'" &amp; LOOKUP(2,1/($A$7:A159&lt;&gt;""),$A$7:A159) &amp; "'!C:C"), $B159,
    INDIRECT("'" &amp; LOOKUP(2,1/($A$7:A159&lt;&gt;""),$A$7:A159) &amp; "'!E:E"), "&gt;=" &amp; ($B$3-6),
    INDIRECT("'" &amp; LOOKUP(2,1/($A$7:A159&lt;&gt;""),$A$7:A159) &amp; "'!E:E"), "&lt;=" &amp; $B$3
  ),
0)</f>
        <v>0</v>
      </c>
    </row>
    <row r="160" spans="1:4" ht="50" customHeight="1" x14ac:dyDescent="0.2">
      <c r="A160" s="28"/>
      <c r="B160" s="29" t="s">
        <v>184</v>
      </c>
      <c r="C160" s="28">
        <f ca="1">IFERROR(
   COUNTIF(INDIRECT("'" &amp; LOOKUP("zzz",$A$7:A160) &amp; "'!C:C"), B160),
   0
)</f>
        <v>0</v>
      </c>
      <c r="D160" s="73">
        <f t="array" aca="1" ref="D160" ca="1">IFERROR(
  COUNTIFS(
    INDIRECT("'" &amp; LOOKUP(2,1/($A$7:A160&lt;&gt;""),$A$7:A160) &amp; "'!C:C"), $B160,
    INDIRECT("'" &amp; LOOKUP(2,1/($A$7:A160&lt;&gt;""),$A$7:A160) &amp; "'!E:E"), "&gt;=" &amp; ($B$3-6),
    INDIRECT("'" &amp; LOOKUP(2,1/($A$7:A160&lt;&gt;""),$A$7:A160) &amp; "'!E:E"), "&lt;=" &amp; $B$3
  ),
0)</f>
        <v>0</v>
      </c>
    </row>
    <row r="161" spans="1:4" ht="50" customHeight="1" x14ac:dyDescent="0.2">
      <c r="A161" s="24"/>
      <c r="B161" s="25" t="s">
        <v>185</v>
      </c>
      <c r="C161" s="28">
        <f ca="1">IFERROR(
   COUNTIF(INDIRECT("'" &amp; LOOKUP("zzz",$A$7:A161) &amp; "'!C:C"), B161),
   0
)</f>
        <v>0</v>
      </c>
      <c r="D161" s="73">
        <f t="array" aca="1" ref="D161" ca="1">IFERROR(
  COUNTIFS(
    INDIRECT("'" &amp; LOOKUP(2,1/($A$7:A161&lt;&gt;""),$A$7:A161) &amp; "'!C:C"), $B161,
    INDIRECT("'" &amp; LOOKUP(2,1/($A$7:A161&lt;&gt;""),$A$7:A161) &amp; "'!E:E"), "&gt;=" &amp; ($B$3-6),
    INDIRECT("'" &amp; LOOKUP(2,1/($A$7:A161&lt;&gt;""),$A$7:A161) &amp; "'!E:E"), "&lt;=" &amp; $B$3
  ),
0)</f>
        <v>0</v>
      </c>
    </row>
    <row r="162" spans="1:4" ht="50" customHeight="1" x14ac:dyDescent="0.2">
      <c r="A162" s="24"/>
      <c r="B162" s="25" t="s">
        <v>186</v>
      </c>
      <c r="C162" s="28">
        <f ca="1">IFERROR(
   COUNTIF(INDIRECT("'" &amp; LOOKUP("zzz",$A$7:A162) &amp; "'!C:C"), B162),
   0
)</f>
        <v>0</v>
      </c>
      <c r="D162" s="73">
        <f t="array" aca="1" ref="D162" ca="1">IFERROR(
  COUNTIFS(
    INDIRECT("'" &amp; LOOKUP(2,1/($A$7:A162&lt;&gt;""),$A$7:A162) &amp; "'!C:C"), $B162,
    INDIRECT("'" &amp; LOOKUP(2,1/($A$7:A162&lt;&gt;""),$A$7:A162) &amp; "'!E:E"), "&gt;=" &amp; ($B$3-6),
    INDIRECT("'" &amp; LOOKUP(2,1/($A$7:A162&lt;&gt;""),$A$7:A162) &amp; "'!E:E"), "&lt;=" &amp; $B$3
  ),
0)</f>
        <v>0</v>
      </c>
    </row>
    <row r="163" spans="1:4" ht="50" customHeight="1" x14ac:dyDescent="0.2">
      <c r="A163" s="24"/>
      <c r="B163" s="25" t="s">
        <v>187</v>
      </c>
      <c r="C163" s="24">
        <f ca="1">IFERROR(
   COUNTIF(INDIRECT("'" &amp; LOOKUP("zzz",$A$7:A163) &amp; "'!C:C"), B163),
   0
)</f>
        <v>0</v>
      </c>
      <c r="D163" s="73">
        <f t="array" aca="1" ref="D163" ca="1">IFERROR(
  COUNTIFS(
    INDIRECT("'" &amp; LOOKUP(2,1/($A$7:A163&lt;&gt;""),$A$7:A163) &amp; "'!C:C"), $B163,
    INDIRECT("'" &amp; LOOKUP(2,1/($A$7:A163&lt;&gt;""),$A$7:A163) &amp; "'!E:E"), "&gt;=" &amp; ($B$3-6),
    INDIRECT("'" &amp; LOOKUP(2,1/($A$7:A163&lt;&gt;""),$A$7:A163) &amp; "'!E:E"), "&lt;=" &amp; $B$3
  ),
0)</f>
        <v>0</v>
      </c>
    </row>
    <row r="164" spans="1:4" ht="50" customHeight="1" x14ac:dyDescent="0.2">
      <c r="A164" s="38"/>
      <c r="B164" s="43" t="s">
        <v>188</v>
      </c>
      <c r="C164" s="28">
        <f ca="1">IFERROR(
   COUNTIF(INDIRECT("'" &amp; LOOKUP("zzz",$A$7:A164) &amp; "'!C:C"), B164),
   0
)</f>
        <v>0</v>
      </c>
      <c r="D164" s="73">
        <f t="array" aca="1" ref="D164" ca="1">IFERROR(
  COUNTIFS(
    INDIRECT("'" &amp; LOOKUP(2,1/($A$7:A164&lt;&gt;""),$A$7:A164) &amp; "'!C:C"), $B164,
    INDIRECT("'" &amp; LOOKUP(2,1/($A$7:A164&lt;&gt;""),$A$7:A164) &amp; "'!E:E"), "&gt;=" &amp; ($B$3-6),
    INDIRECT("'" &amp; LOOKUP(2,1/($A$7:A164&lt;&gt;""),$A$7:A164) &amp; "'!E:E"), "&lt;=" &amp; $B$3
  ),
0)</f>
        <v>0</v>
      </c>
    </row>
    <row r="165" spans="1:4" ht="50" customHeight="1" x14ac:dyDescent="0.2">
      <c r="A165" s="28"/>
      <c r="B165" s="29" t="s">
        <v>189</v>
      </c>
      <c r="C165" s="28">
        <f ca="1">IFERROR(
   COUNTIF(INDIRECT("'" &amp; LOOKUP("zzz",$A$7:A165) &amp; "'!C:C"), B165),
   0
)</f>
        <v>0</v>
      </c>
      <c r="D165" s="87">
        <f t="array" aca="1" ref="D165" ca="1">IFERROR(
  COUNTIFS(
    INDIRECT("'" &amp; LOOKUP(2,1/($A$7:A165&lt;&gt;""),$A$7:A165) &amp; "'!C:C"), $B165,
    INDIRECT("'" &amp; LOOKUP(2,1/($A$7:A165&lt;&gt;""),$A$7:A165) &amp; "'!E:E"), "&gt;=" &amp; ($B$3-6),
    INDIRECT("'" &amp; LOOKUP(2,1/($A$7:A165&lt;&gt;""),$A$7:A165) &amp; "'!E:E"), "&lt;=" &amp; $B$3
  ),
0)</f>
        <v>0</v>
      </c>
    </row>
    <row r="166" spans="1:4" ht="50" customHeight="1" x14ac:dyDescent="0.2">
      <c r="A166" s="69" t="s">
        <v>27</v>
      </c>
      <c r="B166" s="48" t="s">
        <v>190</v>
      </c>
      <c r="C166" s="47">
        <f ca="1">IFERROR(
   COUNTIF(INDIRECT("'" &amp; LOOKUP("zzz",$A$7:A166) &amp; "'!C:C"), B166),
   0
)</f>
        <v>0</v>
      </c>
      <c r="D166" s="88">
        <f t="array" aca="1" ref="D166" ca="1">IFERROR(
  COUNTIFS(
    INDIRECT("'" &amp; LOOKUP(2,1/($A$7:A166&lt;&gt;""),$A$7:A166) &amp; "'!C:C"), $B166,
    INDIRECT("'" &amp; LOOKUP(2,1/($A$7:A166&lt;&gt;""),$A$7:A166) &amp; "'!E:E"), "&gt;=" &amp; ($B$3-6),
    INDIRECT("'" &amp; LOOKUP(2,1/($A$7:A166&lt;&gt;""),$A$7:A166) &amp; "'!E:E"), "&lt;=" &amp; $B$3
  ),
0)</f>
        <v>0</v>
      </c>
    </row>
    <row r="167" spans="1:4" ht="50" customHeight="1" x14ac:dyDescent="0.2">
      <c r="A167" s="31"/>
      <c r="B167" s="30" t="s">
        <v>191</v>
      </c>
      <c r="C167" s="28">
        <f ca="1">IFERROR(
   COUNTIF(INDIRECT("'" &amp; LOOKUP("zzz",$A$7:A167) &amp; "'!C:C"), B167),
   0
)</f>
        <v>0</v>
      </c>
      <c r="D167" s="73">
        <f t="array" aca="1" ref="D167" ca="1">IFERROR(
  COUNTIFS(
    INDIRECT("'" &amp; LOOKUP(2,1/($A$7:A167&lt;&gt;""),$A$7:A167) &amp; "'!C:C"), $B167,
    INDIRECT("'" &amp; LOOKUP(2,1/($A$7:A167&lt;&gt;""),$A$7:A167) &amp; "'!E:E"), "&gt;=" &amp; ($B$3-6),
    INDIRECT("'" &amp; LOOKUP(2,1/($A$7:A167&lt;&gt;""),$A$7:A167) &amp; "'!E:E"), "&lt;=" &amp; $B$3
  ),
0)</f>
        <v>0</v>
      </c>
    </row>
    <row r="168" spans="1:4" ht="50" customHeight="1" x14ac:dyDescent="0.2">
      <c r="A168" s="31"/>
      <c r="B168" s="30" t="s">
        <v>96</v>
      </c>
      <c r="C168" s="28">
        <f ca="1">IFERROR(
   COUNTIF(INDIRECT("'" &amp; LOOKUP("zzz",$A$7:A168) &amp; "'!C:C"), B168),
   0
)</f>
        <v>0</v>
      </c>
      <c r="D168" s="73">
        <f t="array" aca="1" ref="D168" ca="1">IFERROR(
  COUNTIFS(
    INDIRECT("'" &amp; LOOKUP(2,1/($A$7:A168&lt;&gt;""),$A$7:A168) &amp; "'!C:C"), $B168,
    INDIRECT("'" &amp; LOOKUP(2,1/($A$7:A168&lt;&gt;""),$A$7:A168) &amp; "'!E:E"), "&gt;=" &amp; ($B$3-6),
    INDIRECT("'" &amp; LOOKUP(2,1/($A$7:A168&lt;&gt;""),$A$7:A168) &amp; "'!E:E"), "&lt;=" &amp; $B$3
  ),
0)</f>
        <v>0</v>
      </c>
    </row>
    <row r="169" spans="1:4" ht="50" customHeight="1" x14ac:dyDescent="0.2">
      <c r="A169" s="65"/>
      <c r="B169" s="66" t="s">
        <v>192</v>
      </c>
      <c r="C169" s="38">
        <f ca="1">IFERROR(
   COUNTIF(INDIRECT("'" &amp; LOOKUP("zzz",$A$7:A169) &amp; "'!C:C"), B169),
   0
)</f>
        <v>0</v>
      </c>
      <c r="D169" s="73">
        <f t="array" aca="1" ref="D169" ca="1">IFERROR(
  COUNTIFS(
    INDIRECT("'" &amp; LOOKUP(2,1/($A$7:A169&lt;&gt;""),$A$7:A169) &amp; "'!C:C"), $B169,
    INDIRECT("'" &amp; LOOKUP(2,1/($A$7:A169&lt;&gt;""),$A$7:A169) &amp; "'!E:E"), "&gt;=" &amp; ($B$3-6),
    INDIRECT("'" &amp; LOOKUP(2,1/($A$7:A169&lt;&gt;""),$A$7:A169) &amp; "'!E:E"), "&lt;=" &amp; $B$3
  ),
0)</f>
        <v>0</v>
      </c>
    </row>
    <row r="170" spans="1:4" ht="50" customHeight="1" x14ac:dyDescent="0.2">
      <c r="A170" s="31"/>
      <c r="B170" s="30" t="s">
        <v>193</v>
      </c>
      <c r="C170" s="28">
        <f ca="1">IFERROR(
   COUNTIF(INDIRECT("'" &amp; LOOKUP("zzz",$A$7:A170) &amp; "'!C:C"), B170),
   0
)</f>
        <v>0</v>
      </c>
      <c r="D170" s="73">
        <f t="array" aca="1" ref="D170" ca="1">IFERROR(
  COUNTIFS(
    INDIRECT("'" &amp; LOOKUP(2,1/($A$7:A170&lt;&gt;""),$A$7:A170) &amp; "'!C:C"), $B170,
    INDIRECT("'" &amp; LOOKUP(2,1/($A$7:A170&lt;&gt;""),$A$7:A170) &amp; "'!E:E"), "&gt;=" &amp; ($B$3-6),
    INDIRECT("'" &amp; LOOKUP(2,1/($A$7:A170&lt;&gt;""),$A$7:A170) &amp; "'!E:E"), "&lt;=" &amp; $B$3
  ),
0)</f>
        <v>0</v>
      </c>
    </row>
    <row r="171" spans="1:4" ht="50" customHeight="1" x14ac:dyDescent="0.2">
      <c r="A171" s="73"/>
      <c r="B171" s="29" t="s">
        <v>194</v>
      </c>
      <c r="C171" s="28">
        <f ca="1">IFERROR(
   COUNTIF(INDIRECT("'" &amp; LOOKUP("zzz",$A$7:A171) &amp; "'!C:C"), B171),
   0
)</f>
        <v>0</v>
      </c>
      <c r="D171" s="87">
        <f t="array" aca="1" ref="D171" ca="1">IFERROR(
  COUNTIFS(
    INDIRECT("'" &amp; LOOKUP(2,1/($A$7:A171&lt;&gt;""),$A$7:A171) &amp; "'!C:C"), $B171,
    INDIRECT("'" &amp; LOOKUP(2,1/($A$7:A171&lt;&gt;""),$A$7:A171) &amp; "'!E:E"), "&gt;=" &amp; ($B$3-6),
    INDIRECT("'" &amp; LOOKUP(2,1/($A$7:A171&lt;&gt;""),$A$7:A171) &amp; "'!E:E"), "&lt;=" &amp; $B$3
  ),
0)</f>
        <v>0</v>
      </c>
    </row>
    <row r="172" spans="1:4" ht="50" customHeight="1" x14ac:dyDescent="0.2">
      <c r="A172" s="69" t="s">
        <v>28</v>
      </c>
      <c r="B172" s="48" t="s">
        <v>195</v>
      </c>
      <c r="C172" s="47">
        <f ca="1">IFERROR(
   COUNTIF(INDIRECT("'" &amp; LOOKUP("zzz",$A$7:A172) &amp; "'!C:C"), B172),
   0
)</f>
        <v>0</v>
      </c>
      <c r="D172" s="88">
        <f t="array" aca="1" ref="D172" ca="1">IFERROR(
  COUNTIFS(
    INDIRECT("'" &amp; LOOKUP(2,1/($A$7:A172&lt;&gt;""),$A$7:A172) &amp; "'!C:C"), $B172,
    INDIRECT("'" &amp; LOOKUP(2,1/($A$7:A172&lt;&gt;""),$A$7:A172) &amp; "'!E:E"), "&gt;=" &amp; ($B$3-6),
    INDIRECT("'" &amp; LOOKUP(2,1/($A$7:A172&lt;&gt;""),$A$7:A172) &amp; "'!E:E"), "&lt;=" &amp; $B$3
  ),
0)</f>
        <v>0</v>
      </c>
    </row>
    <row r="173" spans="1:4" ht="50" customHeight="1" x14ac:dyDescent="0.2">
      <c r="A173" s="31"/>
      <c r="B173" s="30" t="s">
        <v>196</v>
      </c>
      <c r="C173" s="28">
        <f ca="1">IFERROR(
   COUNTIF(INDIRECT("'" &amp; LOOKUP("zzz",$A$7:A173) &amp; "'!C:C"), B173),
   0
)</f>
        <v>0</v>
      </c>
      <c r="D173" s="73">
        <f t="array" aca="1" ref="D173" ca="1">IFERROR(
  COUNTIFS(
    INDIRECT("'" &amp; LOOKUP(2,1/($A$7:A173&lt;&gt;""),$A$7:A173) &amp; "'!C:C"), $B173,
    INDIRECT("'" &amp; LOOKUP(2,1/($A$7:A173&lt;&gt;""),$A$7:A173) &amp; "'!E:E"), "&gt;=" &amp; ($B$3-6),
    INDIRECT("'" &amp; LOOKUP(2,1/($A$7:A173&lt;&gt;""),$A$7:A173) &amp; "'!E:E"), "&lt;=" &amp; $B$3
  ),
0)</f>
        <v>0</v>
      </c>
    </row>
    <row r="174" spans="1:4" ht="50" customHeight="1" x14ac:dyDescent="0.2">
      <c r="A174" s="31"/>
      <c r="B174" s="30" t="s">
        <v>197</v>
      </c>
      <c r="C174" s="28">
        <f ca="1">IFERROR(
   COUNTIF(INDIRECT("'" &amp; LOOKUP("zzz",$A$7:A174) &amp; "'!C:C"), B174),
   0
)</f>
        <v>0</v>
      </c>
      <c r="D174" s="73">
        <f t="array" aca="1" ref="D174" ca="1">IFERROR(
  COUNTIFS(
    INDIRECT("'" &amp; LOOKUP(2,1/($A$7:A174&lt;&gt;""),$A$7:A174) &amp; "'!C:C"), $B174,
    INDIRECT("'" &amp; LOOKUP(2,1/($A$7:A174&lt;&gt;""),$A$7:A174) &amp; "'!E:E"), "&gt;=" &amp; ($B$3-6),
    INDIRECT("'" &amp; LOOKUP(2,1/($A$7:A174&lt;&gt;""),$A$7:A174) &amp; "'!E:E"), "&lt;=" &amp; $B$3
  ),
0)</f>
        <v>0</v>
      </c>
    </row>
    <row r="175" spans="1:4" ht="50" customHeight="1" x14ac:dyDescent="0.2">
      <c r="A175" s="65"/>
      <c r="B175" s="66" t="s">
        <v>198</v>
      </c>
      <c r="C175" s="28">
        <f ca="1">IFERROR(
   COUNTIF(INDIRECT("'" &amp; LOOKUP("zzz",$A$7:A175) &amp; "'!C:C"), B175),
   0
)</f>
        <v>0</v>
      </c>
      <c r="D175" s="73">
        <f t="array" aca="1" ref="D175" ca="1">IFERROR(
  COUNTIFS(
    INDIRECT("'" &amp; LOOKUP(2,1/($A$7:A175&lt;&gt;""),$A$7:A175) &amp; "'!C:C"), $B175,
    INDIRECT("'" &amp; LOOKUP(2,1/($A$7:A175&lt;&gt;""),$A$7:A175) &amp; "'!E:E"), "&gt;=" &amp; ($B$3-6),
    INDIRECT("'" &amp; LOOKUP(2,1/($A$7:A175&lt;&gt;""),$A$7:A175) &amp; "'!E:E"), "&lt;=" &amp; $B$3
  ),
0)</f>
        <v>0</v>
      </c>
    </row>
    <row r="176" spans="1:4" ht="50" customHeight="1" x14ac:dyDescent="0.2">
      <c r="A176" s="65"/>
      <c r="B176" s="66" t="s">
        <v>199</v>
      </c>
      <c r="C176" s="38">
        <f ca="1">IFERROR(
   COUNTIF(INDIRECT("'" &amp; LOOKUP("zzz",$A$7:A176) &amp; "'!C:C"), B176),
   0
)</f>
        <v>0</v>
      </c>
      <c r="D176" s="73">
        <f t="array" aca="1" ref="D176" ca="1">IFERROR(
  COUNTIFS(
    INDIRECT("'" &amp; LOOKUP(2,1/($A$7:A176&lt;&gt;""),$A$7:A176) &amp; "'!C:C"), $B176,
    INDIRECT("'" &amp; LOOKUP(2,1/($A$7:A176&lt;&gt;""),$A$7:A176) &amp; "'!E:E"), "&gt;=" &amp; ($B$3-6),
    INDIRECT("'" &amp; LOOKUP(2,1/($A$7:A176&lt;&gt;""),$A$7:A176) &amp; "'!E:E"), "&lt;=" &amp; $B$3
  ),
0)</f>
        <v>0</v>
      </c>
    </row>
    <row r="177" spans="1:4" ht="50" customHeight="1" x14ac:dyDescent="0.2">
      <c r="A177" s="31"/>
      <c r="B177" s="30" t="s">
        <v>200</v>
      </c>
      <c r="C177" s="28">
        <f ca="1">IFERROR(
   COUNTIF(INDIRECT("'" &amp; LOOKUP("zzz",$A$7:A177) &amp; "'!C:C"), B177),
   0
)</f>
        <v>0</v>
      </c>
      <c r="D177" s="73">
        <f t="array" aca="1" ref="D177" ca="1">IFERROR(
  COUNTIFS(
    INDIRECT("'" &amp; LOOKUP(2,1/($A$7:A177&lt;&gt;""),$A$7:A177) &amp; "'!C:C"), $B177,
    INDIRECT("'" &amp; LOOKUP(2,1/($A$7:A177&lt;&gt;""),$A$7:A177) &amp; "'!E:E"), "&gt;=" &amp; ($B$3-6),
    INDIRECT("'" &amp; LOOKUP(2,1/($A$7:A177&lt;&gt;""),$A$7:A177) &amp; "'!E:E"), "&lt;=" &amp; $B$3
  ),
0)</f>
        <v>0</v>
      </c>
    </row>
    <row r="178" spans="1:4" ht="50" customHeight="1" x14ac:dyDescent="0.2">
      <c r="A178" s="73"/>
      <c r="B178" s="29" t="s">
        <v>201</v>
      </c>
      <c r="C178" s="28">
        <f ca="1">IFERROR(
   COUNTIF(INDIRECT("'" &amp; LOOKUP("zzz",$A$7:A178) &amp; "'!C:C"), B178),
   0
)</f>
        <v>0</v>
      </c>
      <c r="D178" s="73">
        <f t="array" aca="1" ref="D178" ca="1">IFERROR(
  COUNTIFS(
    INDIRECT("'" &amp; LOOKUP(2,1/($A$7:A178&lt;&gt;""),$A$7:A178) &amp; "'!C:C"), $B178,
    INDIRECT("'" &amp; LOOKUP(2,1/($A$7:A178&lt;&gt;""),$A$7:A178) &amp; "'!E:E"), "&gt;=" &amp; ($B$3-6),
    INDIRECT("'" &amp; LOOKUP(2,1/($A$7:A178&lt;&gt;""),$A$7:A178) &amp; "'!E:E"), "&lt;=" &amp; $B$3
  ),
0)</f>
        <v>0</v>
      </c>
    </row>
    <row r="179" spans="1:4" ht="50" customHeight="1" x14ac:dyDescent="0.2">
      <c r="A179" s="28"/>
      <c r="B179" s="29" t="s">
        <v>202</v>
      </c>
      <c r="C179" s="28">
        <f ca="1">IFERROR(
   COUNTIF(INDIRECT("'" &amp; LOOKUP("zzz",$A$7:A179) &amp; "'!C:C"), B179),
   0
)</f>
        <v>0</v>
      </c>
      <c r="D179" s="73">
        <f t="array" aca="1" ref="D179" ca="1">IFERROR(
  COUNTIFS(
    INDIRECT("'" &amp; LOOKUP(2,1/($A$7:A179&lt;&gt;""),$A$7:A179) &amp; "'!C:C"), $B179,
    INDIRECT("'" &amp; LOOKUP(2,1/($A$7:A179&lt;&gt;""),$A$7:A179) &amp; "'!E:E"), "&gt;=" &amp; ($B$3-6),
    INDIRECT("'" &amp; LOOKUP(2,1/($A$7:A179&lt;&gt;""),$A$7:A179) &amp; "'!E:E"), "&lt;=" &amp; $B$3
  ),
0)</f>
        <v>0</v>
      </c>
    </row>
    <row r="180" spans="1:4" ht="50" customHeight="1" x14ac:dyDescent="0.2">
      <c r="A180" s="39"/>
      <c r="B180" s="40"/>
      <c r="C180" s="41"/>
      <c r="D180" s="22"/>
    </row>
    <row r="181" spans="1:4" ht="50" customHeight="1" x14ac:dyDescent="0.2">
      <c r="A181" s="41"/>
      <c r="B181" s="42"/>
      <c r="C181" s="41"/>
      <c r="D181" s="22"/>
    </row>
    <row r="182" spans="1:4" ht="50" customHeight="1" x14ac:dyDescent="0.2">
      <c r="A182" s="39"/>
      <c r="B182" s="42"/>
      <c r="C182" s="41"/>
      <c r="D182" s="22"/>
    </row>
    <row r="183" spans="1:4" ht="50" customHeight="1" x14ac:dyDescent="0.2">
      <c r="A183" s="39"/>
      <c r="B183" s="42"/>
      <c r="C183" s="41"/>
      <c r="D183" s="22"/>
    </row>
    <row r="184" spans="1:4" ht="50" customHeight="1" x14ac:dyDescent="0.2">
      <c r="A184" s="39"/>
      <c r="B184" s="40"/>
      <c r="C184" s="41"/>
      <c r="D184" s="22"/>
    </row>
    <row r="185" spans="1:4" ht="50" customHeight="1" x14ac:dyDescent="0.2">
      <c r="A185" s="39"/>
      <c r="B185" s="40"/>
      <c r="C185" s="41"/>
      <c r="D185" s="22"/>
    </row>
    <row r="186" spans="1:4" ht="50" customHeight="1" x14ac:dyDescent="0.2">
      <c r="A186" s="41"/>
      <c r="B186" s="40"/>
      <c r="C186" s="41"/>
      <c r="D186" s="22"/>
    </row>
    <row r="187" spans="1:4" ht="50" customHeight="1" x14ac:dyDescent="0.2">
      <c r="A187" s="39"/>
      <c r="B187" s="40"/>
      <c r="C187" s="41"/>
      <c r="D187" s="22"/>
    </row>
    <row r="188" spans="1:4" ht="50" customHeight="1" x14ac:dyDescent="0.2">
      <c r="A188" s="41"/>
      <c r="B188" s="40"/>
      <c r="C188" s="41"/>
      <c r="D188" s="22"/>
    </row>
    <row r="189" spans="1:4" ht="50" customHeight="1" x14ac:dyDescent="0.2">
      <c r="A189" s="39"/>
      <c r="B189" s="40"/>
      <c r="C189" s="41"/>
      <c r="D189" s="22"/>
    </row>
    <row r="190" spans="1:4" ht="50" customHeight="1" x14ac:dyDescent="0.2">
      <c r="A190" s="39"/>
      <c r="B190" s="40"/>
      <c r="C190" s="41"/>
      <c r="D190" s="22"/>
    </row>
    <row r="191" spans="1:4" ht="50" customHeight="1" x14ac:dyDescent="0.2">
      <c r="A191" s="39"/>
      <c r="B191" s="40"/>
      <c r="C191" s="41"/>
      <c r="D191" s="22"/>
    </row>
    <row r="192" spans="1:4" ht="50" customHeight="1" x14ac:dyDescent="0.2">
      <c r="A192" s="39"/>
      <c r="B192" s="40"/>
      <c r="C192" s="41"/>
      <c r="D192" s="22"/>
    </row>
    <row r="193" spans="1:4" ht="50" customHeight="1" x14ac:dyDescent="0.2">
      <c r="A193" s="39"/>
      <c r="B193" s="40"/>
      <c r="C193" s="41"/>
      <c r="D193" s="22"/>
    </row>
    <row r="194" spans="1:4" ht="50" customHeight="1" x14ac:dyDescent="0.2">
      <c r="A194" s="39"/>
      <c r="B194" s="40"/>
      <c r="C194" s="41"/>
      <c r="D194" s="22"/>
    </row>
    <row r="195" spans="1:4" ht="50" customHeight="1" x14ac:dyDescent="0.2">
      <c r="A195" s="39"/>
      <c r="B195" s="40"/>
      <c r="C195" s="41"/>
      <c r="D195" s="22"/>
    </row>
    <row r="196" spans="1:4" ht="50" customHeight="1" x14ac:dyDescent="0.2">
      <c r="A196" s="39"/>
      <c r="B196" s="40"/>
      <c r="C196" s="41"/>
      <c r="D196" s="22"/>
    </row>
    <row r="197" spans="1:4" ht="50" customHeight="1" x14ac:dyDescent="0.2">
      <c r="A197" s="39"/>
      <c r="B197" s="40"/>
      <c r="C197" s="41"/>
      <c r="D197" s="22"/>
    </row>
    <row r="198" spans="1:4" ht="50" customHeight="1" x14ac:dyDescent="0.2">
      <c r="A198" s="39"/>
      <c r="B198" s="40"/>
      <c r="C198" s="41"/>
      <c r="D198" s="22"/>
    </row>
    <row r="199" spans="1:4" ht="50" customHeight="1" x14ac:dyDescent="0.2">
      <c r="A199" s="41"/>
      <c r="B199" s="42"/>
      <c r="C199" s="41"/>
      <c r="D199" s="22"/>
    </row>
    <row r="200" spans="1:4" ht="50" customHeight="1" x14ac:dyDescent="0.2">
      <c r="A200" s="39"/>
      <c r="B200" s="42"/>
      <c r="C200" s="41"/>
      <c r="D200" s="22"/>
    </row>
    <row r="201" spans="1:4" ht="50" customHeight="1" x14ac:dyDescent="0.2">
      <c r="A201" s="39"/>
      <c r="B201" s="42"/>
      <c r="C201" s="41"/>
      <c r="D201" s="22"/>
    </row>
    <row r="202" spans="1:4" ht="50" customHeight="1" x14ac:dyDescent="0.2">
      <c r="A202" s="39"/>
      <c r="B202" s="40"/>
      <c r="C202" s="41"/>
      <c r="D202" s="22"/>
    </row>
    <row r="203" spans="1:4" ht="50" customHeight="1" x14ac:dyDescent="0.2">
      <c r="A203" s="39"/>
      <c r="B203" s="40"/>
      <c r="C203" s="41"/>
      <c r="D203" s="22"/>
    </row>
    <row r="204" spans="1:4" ht="50" customHeight="1" x14ac:dyDescent="0.2">
      <c r="A204" s="41"/>
      <c r="B204" s="40"/>
      <c r="C204" s="41"/>
      <c r="D204" s="22"/>
    </row>
    <row r="205" spans="1:4" ht="50" customHeight="1" x14ac:dyDescent="0.2">
      <c r="A205" s="39"/>
      <c r="B205" s="40"/>
      <c r="C205" s="41"/>
      <c r="D205" s="22"/>
    </row>
    <row r="206" spans="1:4" ht="50" customHeight="1" x14ac:dyDescent="0.2">
      <c r="A206" s="41"/>
      <c r="B206" s="40"/>
      <c r="C206" s="41"/>
      <c r="D206" s="22"/>
    </row>
    <row r="207" spans="1:4" ht="50" customHeight="1" x14ac:dyDescent="0.2">
      <c r="A207" s="39"/>
      <c r="B207" s="40"/>
      <c r="C207" s="41"/>
      <c r="D207" s="22"/>
    </row>
    <row r="208" spans="1:4" ht="50" customHeight="1" x14ac:dyDescent="0.2">
      <c r="A208" s="39"/>
      <c r="B208" s="40"/>
      <c r="C208" s="41"/>
      <c r="D208" s="22"/>
    </row>
    <row r="209" spans="1:4" ht="50" customHeight="1" x14ac:dyDescent="0.2">
      <c r="A209" s="39"/>
      <c r="B209" s="40"/>
      <c r="C209" s="41"/>
      <c r="D209" s="22"/>
    </row>
    <row r="210" spans="1:4" ht="50" customHeight="1" x14ac:dyDescent="0.2">
      <c r="A210" s="39"/>
      <c r="B210" s="40"/>
      <c r="C210" s="41"/>
      <c r="D210" s="22"/>
    </row>
    <row r="211" spans="1:4" ht="50" customHeight="1" x14ac:dyDescent="0.2">
      <c r="A211" s="39"/>
      <c r="B211" s="40"/>
      <c r="C211" s="41"/>
      <c r="D211" s="22"/>
    </row>
    <row r="212" spans="1:4" ht="50" customHeight="1" x14ac:dyDescent="0.2">
      <c r="A212" s="39"/>
      <c r="B212" s="40"/>
      <c r="C212" s="41"/>
      <c r="D212" s="22"/>
    </row>
    <row r="213" spans="1:4" ht="50" customHeight="1" x14ac:dyDescent="0.2">
      <c r="A213" s="39"/>
      <c r="B213" s="40"/>
      <c r="C213" s="41"/>
      <c r="D213" s="22"/>
    </row>
    <row r="214" spans="1:4" ht="50" customHeight="1" x14ac:dyDescent="0.2">
      <c r="A214" s="39"/>
      <c r="B214" s="40"/>
      <c r="C214" s="41"/>
      <c r="D214" s="22"/>
    </row>
    <row r="215" spans="1:4" ht="50" customHeight="1" x14ac:dyDescent="0.2">
      <c r="A215" s="41"/>
      <c r="B215" s="42"/>
      <c r="C215" s="41"/>
      <c r="D215" s="22"/>
    </row>
    <row r="216" spans="1:4" ht="50" customHeight="1" x14ac:dyDescent="0.2">
      <c r="A216" s="41"/>
      <c r="B216" s="42"/>
      <c r="C216" s="41"/>
      <c r="D216" s="22"/>
    </row>
    <row r="217" spans="1:4" ht="50" customHeight="1" x14ac:dyDescent="0.2">
      <c r="A217" s="41"/>
      <c r="B217" s="42"/>
      <c r="C217" s="41"/>
      <c r="D217" s="22"/>
    </row>
    <row r="218" spans="1:4" ht="50" customHeight="1" x14ac:dyDescent="0.2">
      <c r="A218" s="41"/>
      <c r="B218" s="42"/>
      <c r="C218" s="41"/>
      <c r="D218" s="22"/>
    </row>
    <row r="219" spans="1:4" ht="50" customHeight="1" x14ac:dyDescent="0.2">
      <c r="A219" s="41"/>
      <c r="B219" s="42"/>
      <c r="C219" s="41"/>
      <c r="D219" s="22"/>
    </row>
    <row r="220" spans="1:4" ht="50" customHeight="1" x14ac:dyDescent="0.2">
      <c r="A220" s="41"/>
      <c r="B220" s="42"/>
      <c r="C220" s="41"/>
      <c r="D220" s="22"/>
    </row>
    <row r="221" spans="1:4" ht="50" customHeight="1" x14ac:dyDescent="0.2">
      <c r="A221" s="41"/>
      <c r="B221" s="42"/>
      <c r="C221" s="41"/>
      <c r="D221" s="22"/>
    </row>
    <row r="222" spans="1:4" ht="50" customHeight="1" x14ac:dyDescent="0.2">
      <c r="A222" s="41"/>
      <c r="B222" s="42"/>
      <c r="C222" s="41"/>
      <c r="D222" s="22"/>
    </row>
    <row r="223" spans="1:4" ht="50" customHeight="1" x14ac:dyDescent="0.2">
      <c r="A223" s="41"/>
      <c r="B223" s="42"/>
      <c r="C223" s="41"/>
      <c r="D223" s="22"/>
    </row>
    <row r="224" spans="1:4" ht="50" customHeight="1" x14ac:dyDescent="0.2">
      <c r="A224" s="41"/>
      <c r="B224" s="42"/>
      <c r="C224" s="41"/>
      <c r="D224" s="22"/>
    </row>
    <row r="225" spans="1:4" ht="50" customHeight="1" x14ac:dyDescent="0.2">
      <c r="A225" s="41"/>
      <c r="B225" s="42"/>
      <c r="C225" s="41"/>
      <c r="D225" s="22"/>
    </row>
    <row r="226" spans="1:4" ht="50" customHeight="1" x14ac:dyDescent="0.2">
      <c r="A226" s="41"/>
      <c r="B226" s="42"/>
      <c r="C226" s="41"/>
      <c r="D226" s="22"/>
    </row>
    <row r="227" spans="1:4" ht="50" customHeight="1" x14ac:dyDescent="0.2">
      <c r="A227" s="41"/>
      <c r="B227" s="42"/>
      <c r="C227" s="41"/>
      <c r="D227" s="22"/>
    </row>
    <row r="228" spans="1:4" ht="50" customHeight="1" x14ac:dyDescent="0.2">
      <c r="A228" s="41"/>
      <c r="B228" s="42"/>
      <c r="C228" s="41"/>
      <c r="D228" s="22"/>
    </row>
    <row r="229" spans="1:4" ht="50" customHeight="1" x14ac:dyDescent="0.2">
      <c r="A229" s="41"/>
      <c r="B229" s="42"/>
      <c r="C229" s="41"/>
      <c r="D229" s="22"/>
    </row>
    <row r="230" spans="1:4" ht="50" customHeight="1" x14ac:dyDescent="0.2">
      <c r="A230" s="41"/>
      <c r="B230" s="42"/>
      <c r="C230" s="41"/>
      <c r="D230" s="22"/>
    </row>
    <row r="231" spans="1:4" ht="50" customHeight="1" x14ac:dyDescent="0.2">
      <c r="A231" s="41"/>
      <c r="B231" s="42"/>
      <c r="C231" s="41"/>
      <c r="D231" s="22"/>
    </row>
    <row r="232" spans="1:4" ht="50" customHeight="1" x14ac:dyDescent="0.2">
      <c r="A232" s="41"/>
      <c r="B232" s="42"/>
      <c r="C232" s="41"/>
      <c r="D232" s="22"/>
    </row>
    <row r="233" spans="1:4" ht="50" customHeight="1" x14ac:dyDescent="0.2">
      <c r="A233" s="41"/>
      <c r="B233" s="42"/>
      <c r="C233" s="41"/>
      <c r="D233" s="22"/>
    </row>
    <row r="234" spans="1:4" ht="50" customHeight="1" x14ac:dyDescent="0.2">
      <c r="A234" s="41"/>
      <c r="B234" s="42"/>
      <c r="C234" s="41"/>
      <c r="D234" s="22"/>
    </row>
    <row r="235" spans="1:4" ht="50" customHeight="1" x14ac:dyDescent="0.2">
      <c r="A235" s="41"/>
      <c r="B235" s="42"/>
      <c r="C235" s="41"/>
      <c r="D235" s="22"/>
    </row>
    <row r="236" spans="1:4" ht="50" customHeight="1" x14ac:dyDescent="0.2">
      <c r="A236" s="41"/>
      <c r="B236" s="42"/>
      <c r="C236" s="41"/>
      <c r="D236" s="22"/>
    </row>
    <row r="237" spans="1:4" ht="50" customHeight="1" x14ac:dyDescent="0.2">
      <c r="A237" s="41"/>
      <c r="B237" s="42"/>
      <c r="C237" s="41"/>
      <c r="D237" s="22"/>
    </row>
    <row r="238" spans="1:4" ht="50" customHeight="1" x14ac:dyDescent="0.2">
      <c r="A238" s="41"/>
      <c r="B238" s="42"/>
      <c r="C238" s="41"/>
      <c r="D238" s="22"/>
    </row>
    <row r="239" spans="1:4" ht="50" customHeight="1" x14ac:dyDescent="0.2">
      <c r="A239" s="41"/>
      <c r="B239" s="42"/>
      <c r="C239" s="41"/>
      <c r="D239" s="22"/>
    </row>
    <row r="240" spans="1:4" ht="50" customHeight="1" x14ac:dyDescent="0.2">
      <c r="A240" s="23"/>
      <c r="B240" s="21"/>
      <c r="C240" s="21"/>
      <c r="D240" s="22"/>
    </row>
    <row r="241" spans="1:4" ht="50" customHeight="1" x14ac:dyDescent="0.2">
      <c r="A241" s="23"/>
      <c r="B241" s="21"/>
      <c r="C241" s="21"/>
      <c r="D241" s="22"/>
    </row>
    <row r="242" spans="1:4" ht="50" customHeight="1" x14ac:dyDescent="0.2">
      <c r="A242" s="23"/>
      <c r="B242" s="21"/>
      <c r="C242" s="21"/>
      <c r="D242" s="22"/>
    </row>
    <row r="243" spans="1:4" ht="50" customHeight="1" x14ac:dyDescent="0.2">
      <c r="A243" s="23"/>
      <c r="B243" s="21"/>
      <c r="C243" s="21"/>
      <c r="D243" s="22"/>
    </row>
    <row r="244" spans="1:4" ht="50" customHeight="1" x14ac:dyDescent="0.2">
      <c r="A244" s="23"/>
      <c r="B244" s="21"/>
      <c r="C244" s="21"/>
      <c r="D244" s="22"/>
    </row>
    <row r="245" spans="1:4" ht="50" customHeight="1" x14ac:dyDescent="0.2">
      <c r="A245" s="23"/>
      <c r="B245" s="21"/>
      <c r="C245" s="21"/>
      <c r="D245" s="22"/>
    </row>
    <row r="246" spans="1:4" ht="50" customHeight="1" x14ac:dyDescent="0.2">
      <c r="A246" s="23"/>
      <c r="B246" s="21"/>
      <c r="C246" s="21"/>
      <c r="D246" s="22"/>
    </row>
    <row r="247" spans="1:4" ht="50" customHeight="1" x14ac:dyDescent="0.2">
      <c r="A247" s="23"/>
      <c r="B247" s="21"/>
      <c r="C247" s="21"/>
      <c r="D247" s="22"/>
    </row>
    <row r="248" spans="1:4" ht="50" customHeight="1" x14ac:dyDescent="0.2">
      <c r="A248" s="23"/>
      <c r="B248" s="21"/>
      <c r="C248" s="21"/>
      <c r="D248" s="22"/>
    </row>
    <row r="249" spans="1:4" ht="50" customHeight="1" x14ac:dyDescent="0.2">
      <c r="A249" s="23"/>
      <c r="B249" s="21"/>
      <c r="C249" s="21"/>
      <c r="D249" s="22"/>
    </row>
    <row r="250" spans="1:4" ht="50" customHeight="1" x14ac:dyDescent="0.2">
      <c r="A250" s="23"/>
      <c r="B250" s="21"/>
      <c r="C250" s="21"/>
      <c r="D250" s="22"/>
    </row>
    <row r="251" spans="1:4" ht="50" customHeight="1" x14ac:dyDescent="0.2">
      <c r="A251" s="23"/>
      <c r="B251" s="21"/>
      <c r="C251" s="21"/>
      <c r="D251" s="22"/>
    </row>
    <row r="252" spans="1:4" ht="50" customHeight="1" x14ac:dyDescent="0.2">
      <c r="A252" s="23"/>
      <c r="B252" s="21"/>
      <c r="C252" s="21"/>
      <c r="D252" s="22"/>
    </row>
    <row r="253" spans="1:4" ht="50" customHeight="1" x14ac:dyDescent="0.2">
      <c r="A253" s="23"/>
      <c r="B253" s="21"/>
      <c r="C253" s="21"/>
      <c r="D253" s="22"/>
    </row>
    <row r="254" spans="1:4" ht="50" customHeight="1" x14ac:dyDescent="0.2">
      <c r="A254" s="23"/>
      <c r="B254" s="21"/>
      <c r="C254" s="21"/>
      <c r="D254" s="22"/>
    </row>
    <row r="255" spans="1:4" ht="50" customHeight="1" x14ac:dyDescent="0.2">
      <c r="A255" s="23"/>
      <c r="B255" s="21"/>
      <c r="C255" s="21"/>
      <c r="D255" s="22"/>
    </row>
    <row r="256" spans="1:4" ht="50" customHeight="1" x14ac:dyDescent="0.2">
      <c r="A256" s="23"/>
      <c r="B256" s="21"/>
      <c r="C256" s="21"/>
      <c r="D256" s="22"/>
    </row>
    <row r="257" spans="1:4" ht="50" customHeight="1" x14ac:dyDescent="0.2">
      <c r="A257" s="23"/>
      <c r="B257" s="21"/>
      <c r="C257" s="21"/>
      <c r="D257" s="22"/>
    </row>
    <row r="258" spans="1:4" ht="50" customHeight="1" x14ac:dyDescent="0.2">
      <c r="A258" s="23"/>
      <c r="B258" s="21"/>
      <c r="C258" s="21"/>
      <c r="D258" s="22"/>
    </row>
    <row r="259" spans="1:4" ht="50" customHeight="1" x14ac:dyDescent="0.2">
      <c r="A259" s="23"/>
      <c r="B259" s="21"/>
      <c r="C259" s="21"/>
      <c r="D259" s="22"/>
    </row>
    <row r="260" spans="1:4" ht="50" customHeight="1" x14ac:dyDescent="0.2">
      <c r="A260" s="23"/>
      <c r="B260" s="21"/>
      <c r="C260" s="21"/>
      <c r="D260" s="22"/>
    </row>
    <row r="261" spans="1:4" ht="50" customHeight="1" x14ac:dyDescent="0.2">
      <c r="A261" s="23"/>
      <c r="B261" s="21"/>
      <c r="C261" s="21"/>
      <c r="D261" s="22"/>
    </row>
    <row r="262" spans="1:4" ht="50" customHeight="1" x14ac:dyDescent="0.2">
      <c r="A262" s="23"/>
      <c r="B262" s="21"/>
      <c r="C262" s="21"/>
      <c r="D262" s="22"/>
    </row>
    <row r="263" spans="1:4" ht="50" customHeight="1" x14ac:dyDescent="0.2">
      <c r="A263" s="23"/>
      <c r="B263" s="21"/>
      <c r="C263" s="21"/>
      <c r="D263" s="22"/>
    </row>
    <row r="264" spans="1:4" ht="50" customHeight="1" x14ac:dyDescent="0.2">
      <c r="A264" s="23"/>
      <c r="B264" s="21"/>
      <c r="C264" s="21"/>
      <c r="D264" s="22"/>
    </row>
    <row r="265" spans="1:4" ht="50" customHeight="1" x14ac:dyDescent="0.2">
      <c r="A265" s="23"/>
      <c r="B265" s="21"/>
      <c r="C265" s="21"/>
      <c r="D265" s="22"/>
    </row>
    <row r="266" spans="1:4" ht="50" customHeight="1" x14ac:dyDescent="0.2">
      <c r="A266" s="23"/>
      <c r="B266" s="21"/>
      <c r="C266" s="21"/>
      <c r="D266" s="22"/>
    </row>
    <row r="267" spans="1:4" ht="50" customHeight="1" x14ac:dyDescent="0.2">
      <c r="A267" s="23"/>
      <c r="B267" s="21"/>
      <c r="C267" s="21"/>
      <c r="D267" s="22"/>
    </row>
    <row r="268" spans="1:4" ht="50" customHeight="1" x14ac:dyDescent="0.2">
      <c r="A268" s="23"/>
      <c r="B268" s="21"/>
      <c r="C268" s="21"/>
      <c r="D268" s="22"/>
    </row>
    <row r="269" spans="1:4" ht="50" customHeight="1" x14ac:dyDescent="0.2">
      <c r="A269" s="23"/>
      <c r="B269" s="21"/>
      <c r="C269" s="21"/>
      <c r="D269" s="22"/>
    </row>
    <row r="270" spans="1:4" ht="50" customHeight="1" x14ac:dyDescent="0.2">
      <c r="A270" s="23"/>
      <c r="B270" s="21"/>
      <c r="C270" s="21"/>
      <c r="D270" s="22"/>
    </row>
    <row r="271" spans="1:4" ht="50" customHeight="1" x14ac:dyDescent="0.2">
      <c r="A271" s="23"/>
      <c r="B271" s="21"/>
      <c r="C271" s="21"/>
      <c r="D271" s="22"/>
    </row>
    <row r="272" spans="1:4" ht="50" customHeight="1" x14ac:dyDescent="0.2">
      <c r="A272" s="23"/>
      <c r="B272" s="21"/>
      <c r="C272" s="21"/>
      <c r="D272" s="22"/>
    </row>
    <row r="273" spans="1:4" ht="50" customHeight="1" x14ac:dyDescent="0.2">
      <c r="A273" s="23"/>
      <c r="B273" s="21"/>
      <c r="C273" s="21"/>
      <c r="D273" s="22"/>
    </row>
    <row r="274" spans="1:4" ht="50" customHeight="1" x14ac:dyDescent="0.2">
      <c r="A274" s="23"/>
      <c r="B274" s="21"/>
      <c r="C274" s="21"/>
      <c r="D274" s="22"/>
    </row>
    <row r="275" spans="1:4" ht="50" customHeight="1" x14ac:dyDescent="0.2">
      <c r="A275" s="23"/>
      <c r="B275" s="21"/>
      <c r="C275" s="21"/>
    </row>
    <row r="276" spans="1:4" ht="50" customHeight="1" x14ac:dyDescent="0.2">
      <c r="A276" s="23"/>
      <c r="B276" s="21"/>
      <c r="C276" s="21"/>
    </row>
    <row r="277" spans="1:4" ht="50" customHeight="1" x14ac:dyDescent="0.2">
      <c r="A277" s="23"/>
      <c r="B277" s="21"/>
      <c r="C277" s="21"/>
    </row>
    <row r="278" spans="1:4" ht="50" customHeight="1" x14ac:dyDescent="0.2">
      <c r="A278" s="23"/>
      <c r="B278" s="21"/>
      <c r="C278" s="21"/>
    </row>
    <row r="279" spans="1:4" ht="50" customHeight="1" x14ac:dyDescent="0.2">
      <c r="A279" s="21"/>
      <c r="B279" s="21"/>
      <c r="C279" s="21"/>
    </row>
    <row r="280" spans="1:4" ht="50" customHeight="1" x14ac:dyDescent="0.2">
      <c r="A280" s="21"/>
      <c r="B280" s="21"/>
      <c r="C280" s="21"/>
    </row>
    <row r="281" spans="1:4" ht="50" customHeight="1" x14ac:dyDescent="0.2">
      <c r="A281" s="21"/>
      <c r="B281" s="21"/>
      <c r="C281" s="21"/>
    </row>
    <row r="282" spans="1:4" ht="50" customHeight="1" x14ac:dyDescent="0.2">
      <c r="A282" s="21"/>
      <c r="B282" s="21"/>
      <c r="C282" s="21"/>
    </row>
    <row r="283" spans="1:4" ht="50" customHeight="1" x14ac:dyDescent="0.2">
      <c r="A283" s="21"/>
      <c r="B283" s="21"/>
      <c r="C283" s="21"/>
    </row>
    <row r="284" spans="1:4" ht="50" customHeight="1" x14ac:dyDescent="0.2">
      <c r="A284" s="21"/>
      <c r="B284" s="21"/>
      <c r="C284" s="21"/>
    </row>
    <row r="285" spans="1:4" ht="50" customHeight="1" x14ac:dyDescent="0.2">
      <c r="A285" s="21"/>
      <c r="B285" s="21"/>
      <c r="C285" s="21"/>
    </row>
    <row r="286" spans="1:4" ht="50" customHeight="1" x14ac:dyDescent="0.2">
      <c r="A286" s="21"/>
      <c r="B286" s="21"/>
      <c r="C286" s="21"/>
    </row>
    <row r="287" spans="1:4" ht="50" customHeight="1" x14ac:dyDescent="0.2">
      <c r="A287" s="21"/>
      <c r="B287" s="21"/>
      <c r="C287" s="21"/>
    </row>
    <row r="288" spans="1:4" ht="50" customHeight="1" x14ac:dyDescent="0.2">
      <c r="A288" s="21"/>
      <c r="B288" s="21"/>
      <c r="C288" s="21"/>
    </row>
    <row r="289" spans="1:3" ht="50" customHeight="1" x14ac:dyDescent="0.2">
      <c r="A289" s="21"/>
      <c r="B289" s="21"/>
      <c r="C289" s="21"/>
    </row>
    <row r="290" spans="1:3" ht="50" customHeight="1" x14ac:dyDescent="0.2">
      <c r="A290" s="21"/>
      <c r="B290" s="21"/>
      <c r="C290" s="21"/>
    </row>
    <row r="291" spans="1:3" ht="50" customHeight="1" x14ac:dyDescent="0.2">
      <c r="A291" s="21"/>
      <c r="B291" s="21"/>
      <c r="C291" s="21"/>
    </row>
    <row r="292" spans="1:3" ht="50" customHeight="1" x14ac:dyDescent="0.2">
      <c r="A292" s="21"/>
      <c r="B292" s="21"/>
      <c r="C292" s="21"/>
    </row>
    <row r="293" spans="1:3" ht="50" customHeight="1" x14ac:dyDescent="0.2">
      <c r="A293" s="21"/>
      <c r="B293" s="21"/>
      <c r="C293" s="21"/>
    </row>
    <row r="294" spans="1:3" ht="50" customHeight="1" x14ac:dyDescent="0.2">
      <c r="A294" s="21"/>
      <c r="B294" s="21"/>
      <c r="C294" s="21"/>
    </row>
    <row r="295" spans="1:3" ht="50" customHeight="1" x14ac:dyDescent="0.2">
      <c r="A295" s="21"/>
      <c r="B295" s="21"/>
      <c r="C295" s="21"/>
    </row>
    <row r="296" spans="1:3" ht="50" customHeight="1" x14ac:dyDescent="0.2">
      <c r="A296" s="21"/>
      <c r="B296" s="21"/>
      <c r="C296" s="21"/>
    </row>
    <row r="297" spans="1:3" ht="50" customHeight="1" x14ac:dyDescent="0.2">
      <c r="A297" s="21"/>
      <c r="B297" s="21"/>
    </row>
    <row r="298" spans="1:3" ht="50" customHeight="1" x14ac:dyDescent="0.2">
      <c r="A298" s="21"/>
      <c r="B298" s="21"/>
    </row>
    <row r="299" spans="1:3" ht="50" customHeight="1" x14ac:dyDescent="0.2">
      <c r="A299" s="21"/>
      <c r="B299" s="21"/>
    </row>
    <row r="300" spans="1:3" ht="50" customHeight="1" x14ac:dyDescent="0.2">
      <c r="A300" s="21"/>
      <c r="B300" s="21"/>
    </row>
    <row r="301" spans="1:3" ht="50" customHeight="1" x14ac:dyDescent="0.2">
      <c r="A301" s="21"/>
      <c r="B301" s="21"/>
    </row>
    <row r="302" spans="1:3" ht="50" customHeight="1" x14ac:dyDescent="0.2">
      <c r="A302" s="21"/>
      <c r="B302" s="21"/>
    </row>
    <row r="303" spans="1:3" ht="50" customHeight="1" x14ac:dyDescent="0.2">
      <c r="A303" s="21"/>
      <c r="B303" s="21"/>
    </row>
    <row r="304" spans="1:3" ht="50" customHeight="1" x14ac:dyDescent="0.2">
      <c r="A304" s="21"/>
      <c r="B304" s="21"/>
    </row>
    <row r="305" spans="1:2" ht="50" customHeight="1" x14ac:dyDescent="0.2">
      <c r="A305" s="21"/>
      <c r="B305" s="21"/>
    </row>
    <row r="306" spans="1:2" ht="50" customHeight="1" x14ac:dyDescent="0.2">
      <c r="A306" s="21"/>
      <c r="B306" s="21"/>
    </row>
    <row r="307" spans="1:2" ht="50" customHeight="1" x14ac:dyDescent="0.2">
      <c r="A307" s="21"/>
      <c r="B307" s="21"/>
    </row>
    <row r="308" spans="1:2" ht="50" customHeight="1" x14ac:dyDescent="0.2">
      <c r="A308" s="21"/>
      <c r="B308" s="21"/>
    </row>
    <row r="309" spans="1:2" ht="50" customHeight="1" x14ac:dyDescent="0.2">
      <c r="A309" s="21"/>
      <c r="B309" s="21"/>
    </row>
    <row r="310" spans="1:2" ht="50" customHeight="1" x14ac:dyDescent="0.2">
      <c r="A310" s="21"/>
      <c r="B310" s="21"/>
    </row>
    <row r="311" spans="1:2" ht="50" customHeight="1" x14ac:dyDescent="0.2">
      <c r="A311" s="21"/>
      <c r="B311" s="21"/>
    </row>
    <row r="312" spans="1:2" ht="50" customHeight="1" x14ac:dyDescent="0.2">
      <c r="A312" s="21"/>
      <c r="B312" s="21"/>
    </row>
    <row r="313" spans="1:2" ht="50" customHeight="1" x14ac:dyDescent="0.2">
      <c r="A313" s="21"/>
      <c r="B313" s="21"/>
    </row>
    <row r="314" spans="1:2" ht="50" customHeight="1" x14ac:dyDescent="0.2">
      <c r="A314" s="21"/>
      <c r="B314" s="21"/>
    </row>
    <row r="315" spans="1:2" ht="50" customHeight="1" x14ac:dyDescent="0.2">
      <c r="A315" s="21"/>
      <c r="B315" s="21"/>
    </row>
    <row r="316" spans="1:2" ht="50" customHeight="1" x14ac:dyDescent="0.2">
      <c r="A316" s="21"/>
      <c r="B316" s="21"/>
    </row>
    <row r="317" spans="1:2" ht="50" customHeight="1" x14ac:dyDescent="0.2">
      <c r="A317" s="21"/>
      <c r="B317" s="21"/>
    </row>
    <row r="318" spans="1:2" ht="50" customHeight="1" x14ac:dyDescent="0.2">
      <c r="A318" s="21"/>
      <c r="B318" s="21"/>
    </row>
    <row r="319" spans="1:2" ht="50" customHeight="1" x14ac:dyDescent="0.2">
      <c r="A319" s="21"/>
      <c r="B319" s="21"/>
    </row>
    <row r="320" spans="1:2" ht="50" customHeight="1" x14ac:dyDescent="0.2">
      <c r="A320" s="21"/>
      <c r="B320" s="21"/>
    </row>
    <row r="321" spans="1:2" ht="50" customHeight="1" x14ac:dyDescent="0.2">
      <c r="A321" s="21"/>
      <c r="B321" s="21"/>
    </row>
    <row r="322" spans="1:2" ht="50" customHeight="1" x14ac:dyDescent="0.2">
      <c r="A322" s="21"/>
      <c r="B322" s="21"/>
    </row>
    <row r="323" spans="1:2" ht="50" customHeight="1" x14ac:dyDescent="0.2">
      <c r="A323" s="21"/>
      <c r="B323" s="21"/>
    </row>
    <row r="324" spans="1:2" ht="50" customHeight="1" x14ac:dyDescent="0.2">
      <c r="A324" s="21"/>
      <c r="B324" s="21"/>
    </row>
    <row r="325" spans="1:2" ht="50" customHeight="1" x14ac:dyDescent="0.2">
      <c r="A325" s="21"/>
      <c r="B325" s="21"/>
    </row>
    <row r="326" spans="1:2" ht="50" customHeight="1" x14ac:dyDescent="0.2">
      <c r="A326" s="21"/>
      <c r="B326" s="21"/>
    </row>
    <row r="327" spans="1:2" ht="50" customHeight="1" x14ac:dyDescent="0.2">
      <c r="A327" s="21"/>
      <c r="B327" s="21"/>
    </row>
    <row r="328" spans="1:2" ht="50" customHeight="1" x14ac:dyDescent="0.2">
      <c r="A328" s="21"/>
      <c r="B328" s="21"/>
    </row>
    <row r="329" spans="1:2" ht="50" customHeight="1" x14ac:dyDescent="0.2">
      <c r="A329" s="21"/>
      <c r="B329" s="21"/>
    </row>
    <row r="330" spans="1:2" ht="50" customHeight="1" x14ac:dyDescent="0.2">
      <c r="A330" s="21"/>
      <c r="B330" s="21"/>
    </row>
    <row r="331" spans="1:2" ht="50" customHeight="1" x14ac:dyDescent="0.2">
      <c r="A331" s="21"/>
      <c r="B331" s="21"/>
    </row>
    <row r="332" spans="1:2" ht="50" customHeight="1" x14ac:dyDescent="0.2">
      <c r="A332" s="21"/>
      <c r="B332" s="21"/>
    </row>
    <row r="333" spans="1:2" ht="50" customHeight="1" x14ac:dyDescent="0.2">
      <c r="A333" s="21"/>
      <c r="B333" s="21"/>
    </row>
    <row r="334" spans="1:2" ht="50" customHeight="1" x14ac:dyDescent="0.2">
      <c r="A334" s="21"/>
      <c r="B334" s="21"/>
    </row>
    <row r="335" spans="1:2" ht="50" customHeight="1" x14ac:dyDescent="0.2">
      <c r="A335" s="21"/>
      <c r="B335" s="21"/>
    </row>
    <row r="336" spans="1:2" ht="50" customHeight="1" x14ac:dyDescent="0.2">
      <c r="A336" s="21"/>
      <c r="B336" s="21"/>
    </row>
    <row r="337" spans="1:2" ht="50" customHeight="1" x14ac:dyDescent="0.2">
      <c r="A337" s="21"/>
      <c r="B337" s="21"/>
    </row>
    <row r="338" spans="1:2" ht="50" customHeight="1" x14ac:dyDescent="0.2">
      <c r="A338" s="21"/>
      <c r="B338" s="21"/>
    </row>
    <row r="339" spans="1:2" ht="50" customHeight="1" x14ac:dyDescent="0.2">
      <c r="A339" s="21"/>
      <c r="B339" s="21"/>
    </row>
    <row r="340" spans="1:2" ht="50" customHeight="1" x14ac:dyDescent="0.2">
      <c r="A340" s="21"/>
      <c r="B340" s="21"/>
    </row>
    <row r="341" spans="1:2" ht="50" customHeight="1" x14ac:dyDescent="0.2">
      <c r="A341" s="21"/>
      <c r="B341" s="21"/>
    </row>
    <row r="342" spans="1:2" ht="50" customHeight="1" x14ac:dyDescent="0.2">
      <c r="A342" s="21"/>
      <c r="B342" s="21"/>
    </row>
    <row r="343" spans="1:2" ht="50" customHeight="1" x14ac:dyDescent="0.2">
      <c r="A343" s="21"/>
      <c r="B343" s="21"/>
    </row>
    <row r="344" spans="1:2" ht="50" customHeight="1" x14ac:dyDescent="0.2">
      <c r="A344" s="21"/>
      <c r="B344" s="21"/>
    </row>
    <row r="345" spans="1:2" ht="50" customHeight="1" x14ac:dyDescent="0.2">
      <c r="A345" s="21"/>
      <c r="B345" s="21"/>
    </row>
    <row r="346" spans="1:2" ht="50" customHeight="1" x14ac:dyDescent="0.2">
      <c r="A346" s="21"/>
      <c r="B346" s="21"/>
    </row>
    <row r="347" spans="1:2" ht="50" customHeight="1" x14ac:dyDescent="0.2">
      <c r="A347" s="21"/>
      <c r="B347" s="21"/>
    </row>
    <row r="348" spans="1:2" ht="50" customHeight="1" x14ac:dyDescent="0.2">
      <c r="A348" s="21"/>
      <c r="B348" s="21"/>
    </row>
    <row r="349" spans="1:2" ht="50" customHeight="1" x14ac:dyDescent="0.2">
      <c r="A349" s="21"/>
      <c r="B349" s="21"/>
    </row>
    <row r="350" spans="1:2" ht="50" customHeight="1" x14ac:dyDescent="0.2">
      <c r="A350" s="21"/>
      <c r="B350" s="21"/>
    </row>
    <row r="351" spans="1:2" ht="50" customHeight="1" x14ac:dyDescent="0.2">
      <c r="A351" s="21"/>
      <c r="B351" s="21"/>
    </row>
    <row r="352" spans="1:2" ht="50" customHeight="1" x14ac:dyDescent="0.2">
      <c r="A352" s="21"/>
      <c r="B352" s="21"/>
    </row>
    <row r="353" spans="1:2" ht="50" customHeight="1" x14ac:dyDescent="0.2">
      <c r="A353" s="21"/>
      <c r="B353" s="21"/>
    </row>
    <row r="354" spans="1:2" ht="50" customHeight="1" x14ac:dyDescent="0.2">
      <c r="A354" s="21"/>
      <c r="B354" s="21"/>
    </row>
    <row r="355" spans="1:2" ht="50" customHeight="1" x14ac:dyDescent="0.2">
      <c r="A355" s="21"/>
      <c r="B355" s="21"/>
    </row>
    <row r="356" spans="1:2" ht="50" customHeight="1" x14ac:dyDescent="0.2">
      <c r="A356" s="21"/>
      <c r="B356" s="21"/>
    </row>
    <row r="357" spans="1:2" ht="50" customHeight="1" x14ac:dyDescent="0.2">
      <c r="A357" s="21"/>
      <c r="B357" s="21"/>
    </row>
    <row r="358" spans="1:2" ht="50" customHeight="1" x14ac:dyDescent="0.2">
      <c r="A358" s="21"/>
      <c r="B358" s="21"/>
    </row>
    <row r="359" spans="1:2" ht="50" customHeight="1" x14ac:dyDescent="0.2">
      <c r="A359" s="21"/>
      <c r="B359" s="21"/>
    </row>
    <row r="360" spans="1:2" ht="50" customHeight="1" x14ac:dyDescent="0.2">
      <c r="A360" s="21"/>
      <c r="B360" s="21"/>
    </row>
    <row r="361" spans="1:2" ht="50" customHeight="1" x14ac:dyDescent="0.2">
      <c r="A361" s="21"/>
      <c r="B361" s="21"/>
    </row>
    <row r="362" spans="1:2" ht="50" customHeight="1" x14ac:dyDescent="0.2">
      <c r="A362" s="21"/>
      <c r="B362" s="21"/>
    </row>
    <row r="363" spans="1:2" ht="50" customHeight="1" x14ac:dyDescent="0.2">
      <c r="A363" s="21"/>
      <c r="B363" s="21"/>
    </row>
  </sheetData>
  <pageMargins left="0.25" right="0.25" top="0.5" bottom="0.5" header="0.3" footer="0.3"/>
  <pageSetup paperSize="9" scale="10" orientation="portrait"/>
  <headerFooter>
    <oddHeader>&amp;L&amp;G</oddHeader>
  </headerFooter>
  <rowBreaks count="2" manualBreakCount="2">
    <brk id="19" max="3" man="1"/>
    <brk id="154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99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83203125" style="1" customWidth="1"/>
    <col min="4" max="4" width="66.1640625" style="3" customWidth="1"/>
    <col min="5" max="5" width="86.33203125" style="3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</row>
    <row r="2" spans="1:17" ht="129" customHeight="1" x14ac:dyDescent="0.2">
      <c r="A2" s="1"/>
      <c r="C2" s="2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5" customHeight="1" x14ac:dyDescent="0.2">
      <c r="A4" s="1"/>
      <c r="C4" s="2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</row>
    <row r="10" spans="1:17" s="100" customFormat="1" ht="62" customHeight="1" x14ac:dyDescent="0.2">
      <c r="A10" s="96"/>
      <c r="B10" s="97"/>
      <c r="C10" s="98"/>
      <c r="D10" s="99"/>
      <c r="E10" s="99"/>
      <c r="F10" s="101"/>
      <c r="G10" s="101"/>
      <c r="H10" s="101"/>
      <c r="I10" s="101"/>
      <c r="J10" s="101"/>
      <c r="K10" s="101"/>
      <c r="M10" s="101"/>
      <c r="N10" s="101"/>
      <c r="O10" s="101"/>
      <c r="P10" s="101"/>
      <c r="Q10" s="101"/>
    </row>
    <row r="11" spans="1:17" s="101" customFormat="1" ht="62" customHeight="1" x14ac:dyDescent="0.2">
      <c r="A11" s="96"/>
      <c r="B11" s="97"/>
      <c r="C11" s="98"/>
      <c r="D11" s="99"/>
      <c r="E11" s="99"/>
      <c r="F11" s="100"/>
      <c r="G11" s="100"/>
      <c r="H11" s="100"/>
      <c r="I11" s="100"/>
      <c r="J11" s="100"/>
      <c r="K11" s="100"/>
      <c r="M11" s="100"/>
      <c r="N11" s="100"/>
      <c r="O11" s="100"/>
      <c r="P11" s="100"/>
      <c r="Q11" s="100"/>
    </row>
    <row r="12" spans="1:17" s="101" customFormat="1" ht="62" customHeight="1" x14ac:dyDescent="0.2">
      <c r="A12" s="96"/>
      <c r="B12" s="97"/>
      <c r="C12" s="98"/>
      <c r="D12" s="99"/>
      <c r="E12" s="99"/>
      <c r="F12" s="100"/>
      <c r="G12" s="100"/>
      <c r="H12" s="100"/>
      <c r="I12" s="100"/>
      <c r="J12" s="100"/>
      <c r="K12" s="100"/>
      <c r="M12" s="100"/>
      <c r="N12" s="100"/>
      <c r="O12" s="100"/>
      <c r="P12" s="100"/>
      <c r="Q12" s="100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00" customFormat="1" ht="62" customHeight="1" x14ac:dyDescent="0.2">
      <c r="A15" s="96"/>
      <c r="B15" s="97"/>
      <c r="C15" s="98"/>
      <c r="D15" s="99"/>
      <c r="E15" s="99"/>
    </row>
    <row r="16" spans="1:17" s="100" customFormat="1" ht="62" customHeight="1" x14ac:dyDescent="0.2">
      <c r="A16" s="102"/>
      <c r="B16" s="103"/>
      <c r="C16" s="98"/>
      <c r="D16" s="99"/>
      <c r="E16" s="99"/>
    </row>
    <row r="17" spans="1:6" s="100" customFormat="1" ht="62" customHeight="1" x14ac:dyDescent="0.2">
      <c r="A17" s="102"/>
      <c r="B17" s="103"/>
      <c r="C17" s="98"/>
      <c r="D17" s="99"/>
      <c r="E17" s="99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7" customFormat="1" ht="62" customHeight="1" x14ac:dyDescent="0.15">
      <c r="A20" s="102"/>
      <c r="B20" s="103"/>
      <c r="C20" s="98"/>
      <c r="D20" s="104"/>
      <c r="E20" s="104"/>
      <c r="F20" s="100"/>
    </row>
    <row r="21" spans="1:6" s="17" customFormat="1" ht="62" customHeight="1" x14ac:dyDescent="0.15">
      <c r="A21" s="102"/>
      <c r="B21" s="103"/>
      <c r="C21" s="98"/>
      <c r="D21" s="104"/>
      <c r="E21" s="104"/>
      <c r="F21" s="100"/>
    </row>
    <row r="22" spans="1:6" s="17" customFormat="1" ht="62" customHeight="1" x14ac:dyDescent="0.15">
      <c r="A22" s="102"/>
      <c r="B22" s="103"/>
      <c r="C22" s="98"/>
      <c r="D22" s="104"/>
      <c r="E22" s="104"/>
      <c r="F22" s="100"/>
    </row>
    <row r="23" spans="1:6" s="17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20"/>
      <c r="E184" s="20"/>
    </row>
    <row r="185" spans="1:6" ht="62" customHeight="1" x14ac:dyDescent="0.2">
      <c r="D185" s="20"/>
      <c r="E185" s="20"/>
    </row>
    <row r="186" spans="1:6" ht="62" customHeight="1" x14ac:dyDescent="0.2">
      <c r="D186" s="20"/>
      <c r="E186" s="20"/>
    </row>
    <row r="187" spans="1:6" ht="62" customHeight="1" x14ac:dyDescent="0.2">
      <c r="D187" s="20"/>
      <c r="E187" s="20"/>
    </row>
    <row r="188" spans="1:6" ht="62" customHeight="1" x14ac:dyDescent="0.2">
      <c r="D188" s="20"/>
      <c r="E188" s="20"/>
    </row>
    <row r="189" spans="1:6" ht="62" customHeight="1" x14ac:dyDescent="0.2">
      <c r="D189" s="20"/>
      <c r="E189" s="20"/>
    </row>
    <row r="190" spans="1:6" ht="62" customHeight="1" x14ac:dyDescent="0.2">
      <c r="D190" s="20"/>
      <c r="E190" s="20"/>
    </row>
    <row r="191" spans="1:6" ht="62" customHeight="1" x14ac:dyDescent="0.2">
      <c r="D191" s="20"/>
      <c r="E191" s="20"/>
    </row>
    <row r="192" spans="1:6" ht="62" customHeight="1" x14ac:dyDescent="0.2">
      <c r="D192" s="20"/>
      <c r="E192" s="20"/>
    </row>
    <row r="193" spans="4:5" ht="62" customHeight="1" x14ac:dyDescent="0.2">
      <c r="D193" s="20"/>
      <c r="E193" s="20"/>
    </row>
    <row r="194" spans="4:5" x14ac:dyDescent="0.2">
      <c r="D194" s="20"/>
      <c r="E194" s="20"/>
    </row>
    <row r="195" spans="4:5" x14ac:dyDescent="0.2">
      <c r="D195" s="20"/>
      <c r="E195" s="20"/>
    </row>
    <row r="196" spans="4:5" x14ac:dyDescent="0.2">
      <c r="D196" s="20"/>
      <c r="E196" s="20"/>
    </row>
    <row r="197" spans="4:5" x14ac:dyDescent="0.2">
      <c r="D197" s="20"/>
      <c r="E197" s="20"/>
    </row>
    <row r="198" spans="4:5" x14ac:dyDescent="0.2">
      <c r="D198" s="20"/>
      <c r="E198" s="20"/>
    </row>
    <row r="199" spans="4:5" x14ac:dyDescent="0.2">
      <c r="D199" s="20"/>
      <c r="E199" s="20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03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83203125" style="1" customWidth="1"/>
    <col min="4" max="4" width="66.1640625" style="3" customWidth="1"/>
    <col min="5" max="5" width="86.33203125" style="3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</row>
    <row r="2" spans="1:17" ht="129" customHeight="1" x14ac:dyDescent="0.2">
      <c r="A2" s="1"/>
      <c r="C2" s="2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COUNTA(E7:E13511)</f>
        <v>0</v>
      </c>
      <c r="E3" s="1"/>
    </row>
    <row r="4" spans="1:17" ht="47.5" customHeight="1" x14ac:dyDescent="0.2">
      <c r="A4" s="1"/>
      <c r="C4" s="2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1" customFormat="1" ht="62" customHeight="1" x14ac:dyDescent="0.2">
      <c r="A9" s="96"/>
      <c r="B9" s="97"/>
      <c r="C9" s="98"/>
      <c r="D9" s="99"/>
      <c r="E9" s="99"/>
      <c r="F9" s="100"/>
      <c r="G9" s="100"/>
      <c r="H9" s="100"/>
      <c r="I9" s="100"/>
      <c r="J9" s="100"/>
      <c r="K9" s="100"/>
      <c r="M9" s="100"/>
      <c r="N9" s="100"/>
      <c r="O9" s="100"/>
      <c r="P9" s="100"/>
      <c r="Q9" s="100"/>
    </row>
    <row r="10" spans="1:17" s="100" customFormat="1" ht="62" customHeight="1" x14ac:dyDescent="0.2">
      <c r="A10" s="96"/>
      <c r="B10" s="97"/>
      <c r="C10" s="98"/>
      <c r="D10" s="99"/>
      <c r="E10" s="99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00" customFormat="1" ht="62" customHeight="1" x14ac:dyDescent="0.2">
      <c r="A15" s="96"/>
      <c r="B15" s="97"/>
      <c r="C15" s="98"/>
      <c r="D15" s="99"/>
      <c r="E15" s="99"/>
    </row>
    <row r="16" spans="1:17" s="100" customFormat="1" ht="62" customHeight="1" x14ac:dyDescent="0.2">
      <c r="A16" s="102"/>
      <c r="B16" s="103"/>
      <c r="C16" s="98"/>
      <c r="D16" s="99"/>
      <c r="E16" s="99"/>
    </row>
    <row r="17" spans="1:8" s="100" customFormat="1" ht="62" customHeight="1" x14ac:dyDescent="0.2">
      <c r="A17" s="102"/>
      <c r="B17" s="103"/>
      <c r="C17" s="98"/>
      <c r="D17" s="99"/>
      <c r="E17" s="99"/>
    </row>
    <row r="18" spans="1:8" s="17" customFormat="1" ht="62" customHeight="1" x14ac:dyDescent="0.15">
      <c r="A18" s="102"/>
      <c r="B18" s="103"/>
      <c r="C18" s="98"/>
      <c r="D18" s="104"/>
      <c r="E18" s="104"/>
      <c r="F18" s="100"/>
    </row>
    <row r="19" spans="1:8" s="17" customFormat="1" ht="62" customHeight="1" x14ac:dyDescent="0.15">
      <c r="A19" s="102"/>
      <c r="B19" s="103"/>
      <c r="C19" s="98"/>
      <c r="D19" s="104"/>
      <c r="E19" s="104"/>
      <c r="F19" s="100"/>
    </row>
    <row r="20" spans="1:8" s="17" customFormat="1" ht="62" customHeight="1" x14ac:dyDescent="0.15">
      <c r="A20" s="102"/>
      <c r="B20" s="103"/>
      <c r="C20" s="98"/>
      <c r="D20" s="104"/>
      <c r="E20" s="104"/>
      <c r="F20" s="100"/>
    </row>
    <row r="21" spans="1:8" s="17" customFormat="1" ht="62" customHeight="1" x14ac:dyDescent="0.15">
      <c r="A21" s="102"/>
      <c r="B21" s="103"/>
      <c r="C21" s="98"/>
      <c r="D21" s="104"/>
      <c r="E21" s="104"/>
      <c r="F21" s="100"/>
    </row>
    <row r="22" spans="1:8" s="17" customFormat="1" ht="62" customHeight="1" x14ac:dyDescent="0.15">
      <c r="A22" s="102"/>
      <c r="B22" s="103"/>
      <c r="C22" s="98"/>
      <c r="D22" s="104"/>
      <c r="E22" s="104"/>
      <c r="F22" s="100"/>
    </row>
    <row r="23" spans="1:8" s="17" customFormat="1" ht="62" customHeight="1" x14ac:dyDescent="0.15">
      <c r="A23" s="102"/>
      <c r="B23" s="103"/>
      <c r="C23" s="98"/>
      <c r="D23" s="104"/>
      <c r="E23" s="104"/>
      <c r="F23" s="100"/>
    </row>
    <row r="24" spans="1:8" s="17" customFormat="1" ht="62" customHeight="1" x14ac:dyDescent="0.15">
      <c r="A24" s="102"/>
      <c r="B24" s="103"/>
      <c r="C24" s="105"/>
      <c r="D24" s="104"/>
      <c r="E24" s="104"/>
      <c r="F24" s="100"/>
    </row>
    <row r="25" spans="1:8" s="17" customFormat="1" ht="62" customHeight="1" x14ac:dyDescent="0.15">
      <c r="A25" s="102"/>
      <c r="B25" s="103"/>
      <c r="C25" s="98"/>
      <c r="D25" s="104"/>
      <c r="E25" s="104"/>
      <c r="F25" s="100"/>
    </row>
    <row r="26" spans="1:8" s="17" customFormat="1" ht="62" customHeight="1" x14ac:dyDescent="0.15">
      <c r="A26" s="102"/>
      <c r="B26" s="103"/>
      <c r="C26" s="105"/>
      <c r="D26" s="104"/>
      <c r="E26" s="104"/>
      <c r="F26" s="100"/>
    </row>
    <row r="27" spans="1:8" s="17" customFormat="1" ht="62" customHeight="1" x14ac:dyDescent="0.15">
      <c r="A27" s="102"/>
      <c r="B27" s="103"/>
      <c r="C27" s="105"/>
      <c r="D27" s="104"/>
      <c r="E27" s="104"/>
      <c r="F27" s="100"/>
    </row>
    <row r="28" spans="1:8" s="106" customFormat="1" ht="62" customHeight="1" x14ac:dyDescent="0.15">
      <c r="A28" s="102"/>
      <c r="B28" s="103"/>
      <c r="C28" s="98"/>
      <c r="D28" s="104"/>
      <c r="E28" s="104"/>
      <c r="F28" s="100"/>
    </row>
    <row r="29" spans="1:8" s="106" customFormat="1" ht="62" customHeight="1" x14ac:dyDescent="0.15">
      <c r="A29" s="102"/>
      <c r="B29" s="103"/>
      <c r="C29" s="98"/>
      <c r="D29" s="104"/>
      <c r="E29" s="104"/>
      <c r="F29" s="100"/>
    </row>
    <row r="30" spans="1:8" s="106" customFormat="1" ht="62" customHeight="1" x14ac:dyDescent="0.15">
      <c r="A30" s="102"/>
      <c r="B30" s="103"/>
      <c r="C30" s="107"/>
      <c r="D30" s="104"/>
      <c r="E30" s="104"/>
      <c r="F30" s="100"/>
    </row>
    <row r="31" spans="1:8" s="106" customFormat="1" ht="62" customHeight="1" x14ac:dyDescent="0.3">
      <c r="A31" s="102"/>
      <c r="B31" s="103"/>
      <c r="C31" s="98"/>
      <c r="D31" s="104"/>
      <c r="E31" s="104"/>
      <c r="F31" s="111"/>
      <c r="G31" s="112"/>
      <c r="H31" s="112"/>
    </row>
    <row r="32" spans="1:8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20"/>
      <c r="E184" s="20"/>
    </row>
    <row r="185" spans="1:6" ht="62" customHeight="1" x14ac:dyDescent="0.2">
      <c r="D185" s="20"/>
      <c r="E185" s="20"/>
    </row>
    <row r="186" spans="1:6" ht="62" customHeight="1" x14ac:dyDescent="0.2">
      <c r="D186" s="20"/>
      <c r="E186" s="20"/>
    </row>
    <row r="187" spans="1:6" ht="62" customHeight="1" x14ac:dyDescent="0.2">
      <c r="D187" s="20"/>
      <c r="E187" s="20"/>
    </row>
    <row r="188" spans="1:6" ht="62" customHeight="1" x14ac:dyDescent="0.2">
      <c r="D188" s="20"/>
      <c r="E188" s="20"/>
    </row>
    <row r="189" spans="1:6" ht="62" customHeight="1" x14ac:dyDescent="0.2">
      <c r="D189" s="20"/>
      <c r="E189" s="20"/>
    </row>
    <row r="190" spans="1:6" ht="62" customHeight="1" x14ac:dyDescent="0.2">
      <c r="D190" s="20"/>
      <c r="E190" s="20"/>
    </row>
    <row r="191" spans="1:6" ht="62" customHeight="1" x14ac:dyDescent="0.2">
      <c r="D191" s="20"/>
      <c r="E191" s="20"/>
    </row>
    <row r="192" spans="1:6" ht="62" customHeight="1" x14ac:dyDescent="0.2">
      <c r="D192" s="20"/>
      <c r="E192" s="20"/>
    </row>
    <row r="193" spans="4:5" ht="62" customHeight="1" x14ac:dyDescent="0.2">
      <c r="D193" s="20"/>
      <c r="E193" s="20"/>
    </row>
    <row r="194" spans="4:5" ht="62" customHeight="1" x14ac:dyDescent="0.2">
      <c r="D194" s="20"/>
      <c r="E194" s="20"/>
    </row>
    <row r="195" spans="4:5" ht="62" customHeight="1" x14ac:dyDescent="0.2">
      <c r="D195" s="20"/>
      <c r="E195" s="20"/>
    </row>
    <row r="196" spans="4:5" ht="62" customHeight="1" x14ac:dyDescent="0.2">
      <c r="D196" s="20"/>
      <c r="E196" s="20"/>
    </row>
    <row r="197" spans="4:5" ht="62" customHeight="1" x14ac:dyDescent="0.2">
      <c r="D197" s="20"/>
      <c r="E197" s="20"/>
    </row>
    <row r="198" spans="4:5" x14ac:dyDescent="0.2">
      <c r="D198" s="20"/>
      <c r="E198" s="20"/>
    </row>
    <row r="199" spans="4:5" x14ac:dyDescent="0.2">
      <c r="D199" s="20"/>
      <c r="E199" s="20"/>
    </row>
    <row r="200" spans="4:5" x14ac:dyDescent="0.2">
      <c r="D200" s="20"/>
      <c r="E200" s="20"/>
    </row>
    <row r="201" spans="4:5" x14ac:dyDescent="0.2">
      <c r="D201" s="20"/>
      <c r="E201" s="20"/>
    </row>
    <row r="202" spans="4:5" x14ac:dyDescent="0.2">
      <c r="D202" s="20"/>
      <c r="E202" s="20"/>
    </row>
    <row r="203" spans="4:5" x14ac:dyDescent="0.2">
      <c r="D203" s="20"/>
      <c r="E203" s="20"/>
    </row>
  </sheetData>
  <mergeCells count="1">
    <mergeCell ref="F31:H31"/>
  </mergeCells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197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COUNTA(E7:E13511)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</row>
    <row r="10" spans="1:17" s="100" customFormat="1" ht="62" customHeight="1" x14ac:dyDescent="0.2">
      <c r="A10" s="96"/>
      <c r="B10" s="97"/>
      <c r="C10" s="98"/>
      <c r="D10" s="99"/>
      <c r="E10" s="99"/>
    </row>
    <row r="11" spans="1:17" s="100" customFormat="1" ht="62" customHeight="1" x14ac:dyDescent="0.2">
      <c r="A11" s="96"/>
      <c r="B11" s="97"/>
      <c r="C11" s="98"/>
      <c r="D11" s="99"/>
      <c r="E11" s="99"/>
      <c r="F11" s="101"/>
      <c r="G11" s="101"/>
      <c r="H11" s="101"/>
      <c r="I11" s="101"/>
      <c r="J11" s="101"/>
      <c r="K11" s="101"/>
      <c r="M11" s="101"/>
      <c r="N11" s="101"/>
      <c r="O11" s="101"/>
      <c r="P11" s="101"/>
      <c r="Q11" s="101"/>
    </row>
    <row r="12" spans="1:17" s="101" customFormat="1" ht="62" customHeight="1" x14ac:dyDescent="0.2">
      <c r="A12" s="96"/>
      <c r="B12" s="97"/>
      <c r="C12" s="98"/>
      <c r="D12" s="99"/>
      <c r="E12" s="99"/>
      <c r="F12" s="100"/>
      <c r="G12" s="100"/>
      <c r="H12" s="100"/>
      <c r="I12" s="100"/>
      <c r="J12" s="100"/>
      <c r="K12" s="100"/>
      <c r="M12" s="100"/>
      <c r="N12" s="100"/>
      <c r="O12" s="100"/>
      <c r="P12" s="100"/>
      <c r="Q12" s="100"/>
    </row>
    <row r="13" spans="1:17" s="101" customFormat="1" ht="62" customHeight="1" x14ac:dyDescent="0.2">
      <c r="A13" s="96"/>
      <c r="B13" s="97"/>
      <c r="C13" s="98"/>
      <c r="D13" s="99"/>
      <c r="E13" s="99"/>
      <c r="F13" s="100"/>
      <c r="G13" s="100"/>
      <c r="H13" s="100"/>
      <c r="I13" s="100"/>
      <c r="J13" s="100"/>
      <c r="K13" s="100"/>
      <c r="M13" s="100"/>
      <c r="N13" s="100"/>
      <c r="O13" s="100"/>
      <c r="P13" s="100"/>
      <c r="Q13" s="100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00" customFormat="1" ht="62" customHeight="1" x14ac:dyDescent="0.2">
      <c r="A15" s="96"/>
      <c r="B15" s="97"/>
      <c r="C15" s="98"/>
      <c r="D15" s="99"/>
      <c r="E15" s="99"/>
    </row>
    <row r="16" spans="1:17" s="100" customFormat="1" ht="62" customHeight="1" x14ac:dyDescent="0.2">
      <c r="A16" s="102"/>
      <c r="B16" s="103"/>
      <c r="C16" s="98"/>
      <c r="D16" s="99"/>
      <c r="E16" s="99"/>
    </row>
    <row r="17" spans="1:6" s="100" customFormat="1" ht="62" customHeight="1" x14ac:dyDescent="0.2">
      <c r="A17" s="102"/>
      <c r="B17" s="103"/>
      <c r="C17" s="98"/>
      <c r="D17" s="99"/>
      <c r="E17" s="99"/>
    </row>
    <row r="18" spans="1:6" s="100" customFormat="1" ht="62" customHeight="1" x14ac:dyDescent="0.2">
      <c r="A18" s="102"/>
      <c r="B18" s="103"/>
      <c r="C18" s="98"/>
      <c r="D18" s="104"/>
      <c r="E18" s="104"/>
    </row>
    <row r="19" spans="1:6" s="100" customFormat="1" ht="62" customHeight="1" x14ac:dyDescent="0.2">
      <c r="A19" s="102"/>
      <c r="B19" s="103"/>
      <c r="C19" s="98"/>
      <c r="D19" s="104"/>
      <c r="E19" s="104"/>
    </row>
    <row r="20" spans="1:6" s="100" customFormat="1" ht="62" customHeight="1" x14ac:dyDescent="0.2">
      <c r="A20" s="102"/>
      <c r="B20" s="103"/>
      <c r="C20" s="98"/>
      <c r="D20" s="104"/>
      <c r="E20" s="104"/>
    </row>
    <row r="21" spans="1:6" s="17" customFormat="1" ht="62" customHeight="1" x14ac:dyDescent="0.15">
      <c r="A21" s="102"/>
      <c r="B21" s="103"/>
      <c r="C21" s="98"/>
      <c r="D21" s="104"/>
      <c r="E21" s="104"/>
      <c r="F21" s="100"/>
    </row>
    <row r="22" spans="1:6" s="17" customFormat="1" ht="62" customHeight="1" x14ac:dyDescent="0.15">
      <c r="A22" s="102"/>
      <c r="B22" s="103"/>
      <c r="C22" s="98"/>
      <c r="D22" s="104"/>
      <c r="E22" s="104"/>
      <c r="F22" s="100"/>
    </row>
    <row r="23" spans="1:6" s="17" customFormat="1" ht="62" customHeight="1" x14ac:dyDescent="0.15">
      <c r="A23" s="102"/>
      <c r="B23" s="103"/>
      <c r="C23" s="98"/>
      <c r="D23" s="104"/>
      <c r="E23" s="104"/>
      <c r="F23" s="100"/>
    </row>
    <row r="24" spans="1:6" s="17" customFormat="1" ht="62" customHeight="1" x14ac:dyDescent="0.15">
      <c r="A24" s="102"/>
      <c r="B24" s="103"/>
      <c r="C24" s="105"/>
      <c r="D24" s="104"/>
      <c r="E24" s="104"/>
      <c r="F24" s="100"/>
    </row>
    <row r="25" spans="1:6" s="17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ht="62" customHeight="1" x14ac:dyDescent="0.2">
      <c r="D186" s="19"/>
      <c r="E186" s="19"/>
    </row>
    <row r="187" spans="1:6" ht="62" customHeight="1" x14ac:dyDescent="0.2">
      <c r="D187" s="19"/>
      <c r="E187" s="19"/>
    </row>
    <row r="188" spans="1:6" ht="62" customHeight="1" x14ac:dyDescent="0.2">
      <c r="D188" s="19"/>
      <c r="E188" s="19"/>
    </row>
    <row r="189" spans="1:6" ht="62" customHeight="1" x14ac:dyDescent="0.2">
      <c r="D189" s="19"/>
      <c r="E189" s="19"/>
    </row>
    <row r="190" spans="1:6" ht="62" customHeight="1" x14ac:dyDescent="0.2">
      <c r="D190" s="19"/>
      <c r="E190" s="19"/>
    </row>
    <row r="191" spans="1:6" ht="62" customHeight="1" x14ac:dyDescent="0.2">
      <c r="D191" s="19"/>
      <c r="E191" s="19"/>
    </row>
    <row r="192" spans="1:6" x14ac:dyDescent="0.2">
      <c r="D192" s="19"/>
      <c r="E192" s="19"/>
    </row>
    <row r="193" spans="4:5" x14ac:dyDescent="0.2">
      <c r="D193" s="19"/>
      <c r="E193" s="19"/>
    </row>
    <row r="194" spans="4:5" x14ac:dyDescent="0.2">
      <c r="D194" s="19"/>
      <c r="E194" s="19"/>
    </row>
    <row r="195" spans="4:5" x14ac:dyDescent="0.2">
      <c r="D195" s="19"/>
      <c r="E195" s="19"/>
    </row>
    <row r="196" spans="4:5" x14ac:dyDescent="0.2">
      <c r="D196" s="19"/>
      <c r="E196" s="19"/>
    </row>
    <row r="197" spans="4:5" x14ac:dyDescent="0.2">
      <c r="D197" s="19"/>
      <c r="E197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8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0" customFormat="1" ht="62" customHeight="1" x14ac:dyDescent="0.2">
      <c r="A10" s="96"/>
      <c r="B10" s="97"/>
      <c r="C10" s="98"/>
      <c r="D10" s="99"/>
      <c r="E10" s="99"/>
      <c r="G10" s="101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7" customFormat="1" ht="62" customHeight="1" x14ac:dyDescent="0.15">
      <c r="A12" s="96"/>
      <c r="B12" s="97"/>
      <c r="C12" s="98"/>
      <c r="D12" s="99"/>
      <c r="E12" s="99"/>
      <c r="F12" s="100"/>
    </row>
    <row r="13" spans="1:17" s="17" customFormat="1" ht="62" customHeight="1" x14ac:dyDescent="0.15">
      <c r="A13" s="96"/>
      <c r="B13" s="97"/>
      <c r="C13" s="98"/>
      <c r="D13" s="99"/>
      <c r="E13" s="99"/>
      <c r="F13" s="100"/>
    </row>
    <row r="14" spans="1:17" s="17" customFormat="1" ht="62" customHeight="1" x14ac:dyDescent="0.15">
      <c r="A14" s="96"/>
      <c r="B14" s="97"/>
      <c r="C14" s="98"/>
      <c r="D14" s="99"/>
      <c r="E14" s="99"/>
      <c r="F14" s="100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06" customFormat="1" ht="62" customHeight="1" x14ac:dyDescent="0.15">
      <c r="A17" s="102"/>
      <c r="B17" s="103"/>
      <c r="C17" s="98"/>
      <c r="D17" s="99"/>
      <c r="E17" s="99"/>
      <c r="F17" s="100"/>
    </row>
    <row r="18" spans="1:6" s="106" customFormat="1" ht="62" customHeight="1" x14ac:dyDescent="0.15">
      <c r="A18" s="102"/>
      <c r="B18" s="103"/>
      <c r="C18" s="98"/>
      <c r="D18" s="104"/>
      <c r="E18" s="104"/>
      <c r="F18" s="100"/>
    </row>
    <row r="19" spans="1:6" s="106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x14ac:dyDescent="0.15">
      <c r="A183" s="102"/>
      <c r="B183" s="103"/>
      <c r="C183" s="108"/>
      <c r="D183" s="104"/>
      <c r="E183" s="104"/>
      <c r="F183" s="100"/>
    </row>
    <row r="184" spans="1:6" x14ac:dyDescent="0.2">
      <c r="D184" s="19"/>
      <c r="E184" s="19"/>
    </row>
    <row r="185" spans="1:6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191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  <row r="191" spans="1:6" x14ac:dyDescent="0.2">
      <c r="D191" s="19"/>
      <c r="E191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191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  <row r="191" spans="1:6" x14ac:dyDescent="0.2">
      <c r="D191" s="19"/>
      <c r="E191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19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COUNTA(E7:E13512)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  <c r="F7" s="101"/>
      <c r="G7" s="101"/>
      <c r="H7" s="101"/>
      <c r="I7" s="101"/>
      <c r="J7" s="101"/>
      <c r="K7" s="101"/>
      <c r="M7" s="101"/>
      <c r="N7" s="101"/>
      <c r="O7" s="101"/>
      <c r="P7" s="101"/>
      <c r="Q7" s="101"/>
    </row>
    <row r="8" spans="1:17" s="100" customFormat="1" ht="62" customHeight="1" x14ac:dyDescent="0.2">
      <c r="A8" s="96"/>
      <c r="B8" s="97"/>
      <c r="C8" s="98"/>
      <c r="D8" s="99"/>
      <c r="E8" s="99"/>
      <c r="F8" s="101"/>
      <c r="G8" s="101"/>
      <c r="H8" s="101"/>
      <c r="I8" s="101"/>
      <c r="J8" s="101"/>
      <c r="K8" s="101"/>
      <c r="M8" s="101"/>
      <c r="N8" s="101"/>
      <c r="O8" s="101"/>
      <c r="P8" s="101"/>
      <c r="Q8" s="101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F10" s="100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212"/>
  <sheetViews>
    <sheetView showGridLines="0" zoomScale="50" zoomScaleNormal="50" zoomScaleSheetLayoutView="30" zoomScalePageLayoutView="50" workbookViewId="0">
      <selection activeCell="F56" sqref="F56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7" ht="68" customHeight="1" x14ac:dyDescent="0.2">
      <c r="A1" s="1"/>
      <c r="C1" s="2"/>
      <c r="D1" s="3"/>
      <c r="E1" s="3"/>
    </row>
    <row r="2" spans="1:7" ht="129" customHeight="1" x14ac:dyDescent="0.2">
      <c r="A2" s="1"/>
      <c r="C2" s="2"/>
      <c r="D2" s="3"/>
      <c r="E2" s="3"/>
    </row>
    <row r="3" spans="1: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7" ht="47.75" customHeight="1" x14ac:dyDescent="0.2">
      <c r="A4" s="1"/>
      <c r="C4" s="2"/>
      <c r="D4" s="3"/>
      <c r="E4" s="3"/>
    </row>
    <row r="5" spans="1:7" ht="74" customHeight="1" x14ac:dyDescent="0.2">
      <c r="A5" s="7" t="s">
        <v>204</v>
      </c>
      <c r="B5" s="7" t="s">
        <v>205</v>
      </c>
      <c r="C5" s="54" t="s">
        <v>29</v>
      </c>
      <c r="D5" s="9" t="s">
        <v>206</v>
      </c>
      <c r="E5" s="9" t="s">
        <v>207</v>
      </c>
      <c r="G5" s="10"/>
    </row>
    <row r="6" spans="1: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7" s="100" customFormat="1" ht="62" customHeight="1" x14ac:dyDescent="0.2">
      <c r="A7" s="96"/>
      <c r="B7" s="97"/>
      <c r="C7" s="98"/>
      <c r="D7" s="99"/>
      <c r="E7" s="99"/>
    </row>
    <row r="8" spans="1:7" s="100" customFormat="1" ht="62" customHeight="1" x14ac:dyDescent="0.2">
      <c r="A8" s="96"/>
      <c r="B8" s="97"/>
      <c r="C8" s="98"/>
      <c r="D8" s="99"/>
      <c r="E8" s="99"/>
    </row>
    <row r="9" spans="1:7" s="100" customFormat="1" ht="62" customHeight="1" x14ac:dyDescent="0.2">
      <c r="A9" s="96"/>
      <c r="B9" s="97"/>
      <c r="C9" s="98"/>
      <c r="D9" s="99"/>
      <c r="E9" s="99"/>
    </row>
    <row r="10" spans="1:7" s="100" customFormat="1" ht="62" customHeight="1" x14ac:dyDescent="0.2">
      <c r="A10" s="96"/>
      <c r="B10" s="97"/>
      <c r="C10" s="98"/>
      <c r="D10" s="99"/>
      <c r="E10" s="99"/>
    </row>
    <row r="11" spans="1:7" s="100" customFormat="1" ht="62" customHeight="1" x14ac:dyDescent="0.2">
      <c r="A11" s="96"/>
      <c r="B11" s="97"/>
      <c r="C11" s="98"/>
      <c r="D11" s="99"/>
      <c r="E11" s="99"/>
    </row>
    <row r="12" spans="1:7" s="100" customFormat="1" ht="62" customHeight="1" x14ac:dyDescent="0.2">
      <c r="A12" s="96"/>
      <c r="B12" s="97"/>
      <c r="C12" s="98"/>
      <c r="D12" s="99"/>
      <c r="E12" s="99"/>
    </row>
    <row r="13" spans="1:7" s="100" customFormat="1" ht="62" customHeight="1" x14ac:dyDescent="0.2">
      <c r="A13" s="96"/>
      <c r="B13" s="97"/>
      <c r="C13" s="98"/>
      <c r="D13" s="99"/>
      <c r="E13" s="99"/>
    </row>
    <row r="14" spans="1:7" s="100" customFormat="1" ht="62" customHeight="1" x14ac:dyDescent="0.2">
      <c r="A14" s="96"/>
      <c r="B14" s="97"/>
      <c r="C14" s="98"/>
      <c r="D14" s="99"/>
      <c r="E14" s="99"/>
    </row>
    <row r="15" spans="1:7" s="100" customFormat="1" ht="62" customHeight="1" x14ac:dyDescent="0.2">
      <c r="A15" s="96"/>
      <c r="B15" s="97"/>
      <c r="C15" s="98"/>
      <c r="D15" s="99"/>
      <c r="E15" s="99"/>
    </row>
    <row r="16" spans="1:7" s="100" customFormat="1" ht="62" customHeight="1" x14ac:dyDescent="0.2">
      <c r="A16" s="102"/>
      <c r="B16" s="103"/>
      <c r="C16" s="98"/>
      <c r="D16" s="99"/>
      <c r="E16" s="99"/>
    </row>
    <row r="17" spans="1:17" s="101" customFormat="1" ht="62" customHeight="1" x14ac:dyDescent="0.2">
      <c r="A17" s="102"/>
      <c r="B17" s="103"/>
      <c r="C17" s="98"/>
      <c r="D17" s="99"/>
      <c r="E17" s="99"/>
      <c r="F17" s="100"/>
      <c r="G17" s="100"/>
      <c r="H17" s="100"/>
      <c r="I17" s="100"/>
      <c r="J17" s="100"/>
      <c r="K17" s="100"/>
      <c r="M17" s="100"/>
      <c r="N17" s="100"/>
      <c r="O17" s="100"/>
      <c r="P17" s="100"/>
      <c r="Q17" s="100"/>
    </row>
    <row r="18" spans="1:17" s="101" customFormat="1" ht="62" customHeight="1" x14ac:dyDescent="0.2">
      <c r="A18" s="102"/>
      <c r="B18" s="103"/>
      <c r="C18" s="98"/>
      <c r="D18" s="104"/>
      <c r="E18" s="104"/>
      <c r="F18" s="100"/>
      <c r="G18" s="100"/>
      <c r="H18" s="100"/>
      <c r="I18" s="100"/>
      <c r="J18" s="100"/>
      <c r="K18" s="100"/>
      <c r="M18" s="100"/>
      <c r="N18" s="100"/>
      <c r="O18" s="100"/>
      <c r="P18" s="100"/>
      <c r="Q18" s="100"/>
    </row>
    <row r="19" spans="1:17" s="101" customFormat="1" ht="62" customHeight="1" x14ac:dyDescent="0.2">
      <c r="A19" s="102"/>
      <c r="B19" s="103"/>
      <c r="C19" s="98"/>
      <c r="D19" s="104"/>
      <c r="E19" s="104"/>
      <c r="F19" s="100"/>
      <c r="G19" s="100"/>
      <c r="H19" s="100"/>
      <c r="I19" s="100"/>
      <c r="J19" s="100"/>
      <c r="K19" s="100"/>
      <c r="M19" s="100"/>
      <c r="N19" s="100"/>
      <c r="O19" s="100"/>
      <c r="P19" s="100"/>
      <c r="Q19" s="100"/>
    </row>
    <row r="20" spans="1:17" s="100" customFormat="1" ht="62" customHeight="1" x14ac:dyDescent="0.2">
      <c r="A20" s="102"/>
      <c r="B20" s="103"/>
      <c r="C20" s="98"/>
      <c r="D20" s="104"/>
      <c r="E20" s="104"/>
    </row>
    <row r="21" spans="1:17" s="100" customFormat="1" ht="62" customHeight="1" x14ac:dyDescent="0.2">
      <c r="A21" s="102"/>
      <c r="B21" s="103"/>
      <c r="C21" s="98"/>
      <c r="D21" s="104"/>
      <c r="E21" s="104"/>
    </row>
    <row r="22" spans="1:17" s="100" customFormat="1" ht="62" customHeight="1" x14ac:dyDescent="0.2">
      <c r="A22" s="102"/>
      <c r="B22" s="103"/>
      <c r="C22" s="98"/>
      <c r="D22" s="104"/>
      <c r="E22" s="104"/>
    </row>
    <row r="23" spans="1:17" s="100" customFormat="1" ht="62" customHeight="1" x14ac:dyDescent="0.2">
      <c r="A23" s="102"/>
      <c r="B23" s="103"/>
      <c r="C23" s="98"/>
      <c r="D23" s="104"/>
      <c r="E23" s="104"/>
    </row>
    <row r="24" spans="1:17" s="100" customFormat="1" ht="62" customHeight="1" x14ac:dyDescent="0.2">
      <c r="A24" s="102"/>
      <c r="B24" s="103"/>
      <c r="C24" s="105"/>
      <c r="D24" s="104"/>
      <c r="E24" s="104"/>
    </row>
    <row r="25" spans="1:17" s="100" customFormat="1" ht="62" customHeight="1" x14ac:dyDescent="0.2">
      <c r="A25" s="102"/>
      <c r="B25" s="103"/>
      <c r="C25" s="98"/>
      <c r="D25" s="104"/>
      <c r="E25" s="104"/>
    </row>
    <row r="26" spans="1:17" s="100" customFormat="1" ht="62" customHeight="1" x14ac:dyDescent="0.2">
      <c r="A26" s="102"/>
      <c r="B26" s="103"/>
      <c r="C26" s="105"/>
      <c r="D26" s="104"/>
      <c r="E26" s="104"/>
    </row>
    <row r="27" spans="1:17" s="100" customFormat="1" ht="62" customHeight="1" x14ac:dyDescent="0.2">
      <c r="A27" s="102"/>
      <c r="B27" s="103"/>
      <c r="C27" s="105"/>
      <c r="D27" s="104"/>
      <c r="E27" s="104"/>
    </row>
    <row r="28" spans="1:17" s="100" customFormat="1" ht="62" customHeight="1" x14ac:dyDescent="0.2">
      <c r="A28" s="102"/>
      <c r="B28" s="103"/>
      <c r="C28" s="98"/>
      <c r="D28" s="104"/>
      <c r="E28" s="104"/>
    </row>
    <row r="29" spans="1:17" s="17" customFormat="1" ht="62" customHeight="1" x14ac:dyDescent="0.15">
      <c r="A29" s="102"/>
      <c r="B29" s="103"/>
      <c r="C29" s="98"/>
      <c r="D29" s="104"/>
      <c r="E29" s="104"/>
      <c r="F29" s="100"/>
    </row>
    <row r="30" spans="1:17" s="17" customFormat="1" ht="62" customHeight="1" x14ac:dyDescent="0.15">
      <c r="A30" s="102"/>
      <c r="B30" s="103"/>
      <c r="C30" s="107"/>
      <c r="D30" s="104"/>
      <c r="E30" s="104"/>
      <c r="F30" s="100"/>
    </row>
    <row r="31" spans="1:17" s="17" customFormat="1" ht="62" customHeight="1" x14ac:dyDescent="0.15">
      <c r="A31" s="102"/>
      <c r="B31" s="103"/>
      <c r="C31" s="98"/>
      <c r="D31" s="104"/>
      <c r="E31" s="104"/>
      <c r="F31" s="100"/>
    </row>
    <row r="32" spans="1:17" s="17" customFormat="1" ht="62" customHeight="1" x14ac:dyDescent="0.15">
      <c r="A32" s="102"/>
      <c r="B32" s="103"/>
      <c r="C32" s="107"/>
      <c r="D32" s="104"/>
      <c r="E32" s="104"/>
      <c r="F32" s="100"/>
    </row>
    <row r="33" spans="1:6" s="17" customFormat="1" ht="62" customHeight="1" x14ac:dyDescent="0.15">
      <c r="A33" s="102"/>
      <c r="B33" s="103"/>
      <c r="C33" s="105"/>
      <c r="D33" s="104"/>
      <c r="E33" s="104"/>
      <c r="F33" s="100"/>
    </row>
    <row r="34" spans="1:6" s="17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ht="62" customHeight="1" x14ac:dyDescent="0.2">
      <c r="D186" s="19"/>
      <c r="E186" s="19"/>
    </row>
    <row r="187" spans="1:6" ht="62" customHeight="1" x14ac:dyDescent="0.2">
      <c r="D187" s="19"/>
      <c r="E187" s="19"/>
    </row>
    <row r="188" spans="1:6" ht="62" customHeight="1" x14ac:dyDescent="0.2">
      <c r="D188" s="19"/>
      <c r="E188" s="19"/>
    </row>
    <row r="189" spans="1:6" ht="62" customHeight="1" x14ac:dyDescent="0.2">
      <c r="D189" s="19"/>
      <c r="E189" s="19"/>
    </row>
    <row r="190" spans="1:6" ht="62" customHeight="1" x14ac:dyDescent="0.2">
      <c r="D190" s="19"/>
      <c r="E190" s="19"/>
    </row>
    <row r="191" spans="1:6" ht="62" customHeight="1" x14ac:dyDescent="0.2">
      <c r="D191" s="19"/>
      <c r="E191" s="19"/>
    </row>
    <row r="192" spans="1:6" ht="62" customHeight="1" x14ac:dyDescent="0.2">
      <c r="D192" s="19"/>
      <c r="E192" s="19"/>
    </row>
    <row r="193" spans="4:5" ht="62" customHeight="1" x14ac:dyDescent="0.2">
      <c r="D193" s="19"/>
      <c r="E193" s="19"/>
    </row>
    <row r="194" spans="4:5" ht="62" customHeight="1" x14ac:dyDescent="0.2">
      <c r="D194" s="19"/>
      <c r="E194" s="19"/>
    </row>
    <row r="195" spans="4:5" ht="62" customHeight="1" x14ac:dyDescent="0.2">
      <c r="D195" s="19"/>
      <c r="E195" s="19"/>
    </row>
    <row r="196" spans="4:5" ht="62" customHeight="1" x14ac:dyDescent="0.2">
      <c r="D196" s="19"/>
      <c r="E196" s="19"/>
    </row>
    <row r="197" spans="4:5" ht="62" customHeight="1" x14ac:dyDescent="0.2">
      <c r="D197" s="19"/>
      <c r="E197" s="19"/>
    </row>
    <row r="198" spans="4:5" ht="62" customHeight="1" x14ac:dyDescent="0.2">
      <c r="D198" s="19"/>
      <c r="E198" s="19"/>
    </row>
    <row r="199" spans="4:5" ht="62" customHeight="1" x14ac:dyDescent="0.2">
      <c r="D199" s="19"/>
      <c r="E199" s="19"/>
    </row>
    <row r="200" spans="4:5" ht="62" customHeight="1" x14ac:dyDescent="0.2">
      <c r="D200" s="19"/>
      <c r="E200" s="19"/>
    </row>
    <row r="201" spans="4:5" ht="62" customHeight="1" x14ac:dyDescent="0.2">
      <c r="D201" s="19"/>
      <c r="E201" s="19"/>
    </row>
    <row r="202" spans="4:5" ht="62" customHeight="1" x14ac:dyDescent="0.2">
      <c r="D202" s="19"/>
      <c r="E202" s="19"/>
    </row>
    <row r="203" spans="4:5" ht="62" customHeight="1" x14ac:dyDescent="0.2">
      <c r="D203" s="19"/>
      <c r="E203" s="19"/>
    </row>
    <row r="204" spans="4:5" ht="62" customHeight="1" x14ac:dyDescent="0.2">
      <c r="D204" s="19"/>
      <c r="E204" s="19"/>
    </row>
    <row r="205" spans="4:5" ht="62" customHeight="1" x14ac:dyDescent="0.2">
      <c r="D205" s="19"/>
      <c r="E205" s="19"/>
    </row>
    <row r="206" spans="4:5" ht="62" customHeight="1" x14ac:dyDescent="0.2">
      <c r="D206" s="19"/>
      <c r="E206" s="19"/>
    </row>
    <row r="207" spans="4:5" x14ac:dyDescent="0.2">
      <c r="D207" s="19"/>
      <c r="E207" s="19"/>
    </row>
    <row r="208" spans="4:5" x14ac:dyDescent="0.2">
      <c r="D208" s="19"/>
      <c r="E208" s="19"/>
    </row>
    <row r="209" spans="4:5" x14ac:dyDescent="0.2">
      <c r="D209" s="19"/>
      <c r="E209" s="19"/>
    </row>
    <row r="210" spans="4:5" x14ac:dyDescent="0.2">
      <c r="D210" s="19"/>
      <c r="E210" s="19"/>
    </row>
    <row r="211" spans="4:5" x14ac:dyDescent="0.2">
      <c r="D211" s="19"/>
      <c r="E211" s="19"/>
    </row>
    <row r="212" spans="4:5" x14ac:dyDescent="0.2">
      <c r="D212" s="19"/>
      <c r="E212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19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COUNTA(E7:E13508)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</row>
    <row r="10" spans="1:17" s="101" customFormat="1" ht="62" customHeight="1" x14ac:dyDescent="0.2">
      <c r="A10" s="96"/>
      <c r="B10" s="97"/>
      <c r="C10" s="98"/>
      <c r="D10" s="99"/>
      <c r="E10" s="99"/>
      <c r="F10" s="100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00" customFormat="1" ht="62" customHeight="1" x14ac:dyDescent="0.2">
      <c r="A15" s="96"/>
      <c r="B15" s="97"/>
      <c r="C15" s="98"/>
      <c r="D15" s="99"/>
      <c r="E15" s="99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7" customFormat="1" ht="62" customHeight="1" x14ac:dyDescent="0.15">
      <c r="A20" s="102"/>
      <c r="B20" s="103"/>
      <c r="C20" s="98"/>
      <c r="D20" s="104"/>
      <c r="E20" s="104"/>
      <c r="F20" s="100"/>
    </row>
    <row r="21" spans="1:6" s="17" customFormat="1" ht="62" customHeight="1" x14ac:dyDescent="0.15">
      <c r="A21" s="102"/>
      <c r="B21" s="103"/>
      <c r="C21" s="98"/>
      <c r="D21" s="104"/>
      <c r="E21" s="104"/>
      <c r="F21" s="100"/>
    </row>
    <row r="22" spans="1:6" s="17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ht="62" customHeight="1" x14ac:dyDescent="0.2">
      <c r="D186" s="19"/>
      <c r="E186" s="19"/>
    </row>
    <row r="187" spans="1:6" ht="62" customHeight="1" x14ac:dyDescent="0.2">
      <c r="D187" s="19"/>
      <c r="E187" s="19"/>
    </row>
    <row r="188" spans="1:6" ht="62" customHeight="1" x14ac:dyDescent="0.2">
      <c r="D188" s="19"/>
      <c r="E188" s="19"/>
    </row>
    <row r="189" spans="1:6" ht="62" customHeight="1" x14ac:dyDescent="0.2">
      <c r="D189" s="19"/>
      <c r="E189" s="19"/>
    </row>
    <row r="190" spans="1:6" ht="62" customHeight="1" x14ac:dyDescent="0.2">
      <c r="D190" s="19"/>
      <c r="E190" s="19"/>
    </row>
    <row r="191" spans="1:6" ht="62" customHeight="1" x14ac:dyDescent="0.2">
      <c r="D191" s="19"/>
      <c r="E191" s="19"/>
    </row>
    <row r="192" spans="1:6" ht="62" customHeight="1" x14ac:dyDescent="0.2">
      <c r="D192" s="19"/>
      <c r="E192" s="19"/>
    </row>
    <row r="193" spans="4:5" x14ac:dyDescent="0.2">
      <c r="D193" s="19"/>
      <c r="E193" s="19"/>
    </row>
    <row r="194" spans="4:5" x14ac:dyDescent="0.2">
      <c r="D194" s="19"/>
      <c r="E194" s="19"/>
    </row>
    <row r="195" spans="4:5" x14ac:dyDescent="0.2">
      <c r="D195" s="19"/>
      <c r="E195" s="19"/>
    </row>
    <row r="196" spans="4:5" x14ac:dyDescent="0.2">
      <c r="D196" s="19"/>
      <c r="E196" s="19"/>
    </row>
    <row r="197" spans="4:5" x14ac:dyDescent="0.2">
      <c r="D197" s="19"/>
      <c r="E197" s="19"/>
    </row>
    <row r="198" spans="4:5" x14ac:dyDescent="0.2">
      <c r="D198" s="19"/>
      <c r="E198" s="19"/>
    </row>
  </sheetData>
  <pageMargins left="0.25" right="0.25" top="0.5" bottom="0.5" header="0.3" footer="0.3"/>
  <pageSetup paperSize="9" scale="20" orientation="portrait"/>
  <headerFooter>
    <oddHeader>&amp;L&amp;G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8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COUNTA(E7:E13508)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1" customFormat="1" ht="62" customHeight="1" x14ac:dyDescent="0.2">
      <c r="A8" s="96"/>
      <c r="B8" s="97"/>
      <c r="C8" s="98"/>
      <c r="D8" s="99"/>
      <c r="E8" s="99"/>
      <c r="F8" s="100"/>
      <c r="G8" s="100"/>
      <c r="H8" s="100"/>
      <c r="I8" s="100"/>
      <c r="J8" s="100"/>
      <c r="K8" s="100"/>
      <c r="M8" s="100"/>
      <c r="N8" s="100"/>
      <c r="O8" s="100"/>
      <c r="P8" s="100"/>
      <c r="Q8" s="100"/>
    </row>
    <row r="9" spans="1:17" s="100" customFormat="1" ht="62" customHeight="1" x14ac:dyDescent="0.2">
      <c r="A9" s="96"/>
      <c r="B9" s="97"/>
      <c r="C9" s="98"/>
      <c r="D9" s="99"/>
      <c r="E9" s="99"/>
    </row>
    <row r="10" spans="1:17" s="100" customFormat="1" ht="62" customHeight="1" x14ac:dyDescent="0.2">
      <c r="A10" s="96"/>
      <c r="B10" s="97"/>
      <c r="C10" s="98"/>
      <c r="D10" s="99"/>
      <c r="E10" s="99"/>
    </row>
    <row r="11" spans="1:17" s="100" customFormat="1" ht="62" customHeight="1" x14ac:dyDescent="0.2">
      <c r="A11" s="96"/>
      <c r="B11" s="97"/>
      <c r="C11" s="98"/>
      <c r="D11" s="99"/>
      <c r="E11" s="99"/>
      <c r="F11" s="101"/>
      <c r="G11" s="101"/>
      <c r="H11" s="101"/>
      <c r="I11" s="101"/>
      <c r="J11" s="101"/>
      <c r="K11" s="101"/>
      <c r="M11" s="101"/>
      <c r="N11" s="101"/>
      <c r="O11" s="101"/>
      <c r="P11" s="101"/>
      <c r="Q11" s="101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00" customFormat="1" ht="62" customHeight="1" x14ac:dyDescent="0.2">
      <c r="A15" s="96"/>
      <c r="B15" s="97"/>
      <c r="C15" s="98"/>
      <c r="D15" s="99"/>
      <c r="E15" s="99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06" customFormat="1" ht="62" customHeight="1" x14ac:dyDescent="0.15">
      <c r="A17" s="102"/>
      <c r="B17" s="103"/>
      <c r="C17" s="98"/>
      <c r="D17" s="99"/>
      <c r="E17" s="99"/>
      <c r="F17" s="100"/>
    </row>
    <row r="18" spans="1:6" s="106" customFormat="1" ht="62" customHeight="1" x14ac:dyDescent="0.15">
      <c r="A18" s="102"/>
      <c r="B18" s="103"/>
      <c r="C18" s="98"/>
      <c r="D18" s="104"/>
      <c r="E18" s="104"/>
      <c r="F18" s="100"/>
    </row>
    <row r="19" spans="1:6" s="106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x14ac:dyDescent="0.15">
      <c r="A183" s="102"/>
      <c r="B183" s="103"/>
      <c r="C183" s="108"/>
      <c r="D183" s="104"/>
      <c r="E183" s="104"/>
      <c r="F183" s="100"/>
    </row>
    <row r="184" spans="1:6" x14ac:dyDescent="0.2">
      <c r="D184" s="19"/>
      <c r="E184" s="19"/>
    </row>
    <row r="185" spans="1:6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18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COUNTA(E7:E13508)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1" customFormat="1" ht="62" customHeight="1" x14ac:dyDescent="0.2">
      <c r="A8" s="96"/>
      <c r="B8" s="97"/>
      <c r="C8" s="98"/>
      <c r="D8" s="99"/>
      <c r="E8" s="99"/>
      <c r="F8" s="100"/>
      <c r="G8" s="100"/>
      <c r="H8" s="100"/>
      <c r="I8" s="100"/>
      <c r="J8" s="100"/>
      <c r="K8" s="100"/>
      <c r="M8" s="100"/>
      <c r="N8" s="100"/>
      <c r="O8" s="100"/>
      <c r="P8" s="100"/>
      <c r="Q8" s="100"/>
    </row>
    <row r="9" spans="1:17" s="100" customFormat="1" ht="62" customHeight="1" x14ac:dyDescent="0.2">
      <c r="A9" s="96"/>
      <c r="B9" s="97"/>
      <c r="C9" s="98"/>
      <c r="D9" s="99"/>
      <c r="E9" s="99"/>
    </row>
    <row r="10" spans="1:17" s="100" customFormat="1" ht="62" customHeight="1" x14ac:dyDescent="0.2">
      <c r="A10" s="96"/>
      <c r="B10" s="97"/>
      <c r="C10" s="98"/>
      <c r="D10" s="99"/>
      <c r="E10" s="99"/>
    </row>
    <row r="11" spans="1:17" s="100" customFormat="1" ht="62" customHeight="1" x14ac:dyDescent="0.2">
      <c r="A11" s="96"/>
      <c r="B11" s="97"/>
      <c r="C11" s="98"/>
      <c r="D11" s="99"/>
      <c r="E11" s="99"/>
      <c r="F11" s="101"/>
      <c r="G11" s="101"/>
      <c r="H11" s="101"/>
      <c r="I11" s="101"/>
      <c r="J11" s="101"/>
      <c r="K11" s="101"/>
      <c r="M11" s="101"/>
      <c r="N11" s="101"/>
      <c r="O11" s="101"/>
      <c r="P11" s="101"/>
      <c r="Q11" s="101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00" customFormat="1" ht="62" customHeight="1" x14ac:dyDescent="0.2">
      <c r="A15" s="96"/>
      <c r="B15" s="97"/>
      <c r="C15" s="98"/>
      <c r="D15" s="99"/>
      <c r="E15" s="99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06" customFormat="1" ht="62" customHeight="1" x14ac:dyDescent="0.15">
      <c r="A17" s="102"/>
      <c r="B17" s="103"/>
      <c r="C17" s="98"/>
      <c r="D17" s="99"/>
      <c r="E17" s="99"/>
      <c r="F17" s="100"/>
    </row>
    <row r="18" spans="1:6" s="106" customFormat="1" ht="62" customHeight="1" x14ac:dyDescent="0.15">
      <c r="A18" s="102"/>
      <c r="B18" s="103"/>
      <c r="C18" s="98"/>
      <c r="D18" s="104"/>
      <c r="E18" s="104"/>
      <c r="F18" s="100"/>
    </row>
    <row r="19" spans="1:6" s="106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x14ac:dyDescent="0.15">
      <c r="A183" s="102"/>
      <c r="B183" s="103"/>
      <c r="C183" s="108"/>
      <c r="D183" s="104"/>
      <c r="E183" s="104"/>
      <c r="F183" s="100"/>
    </row>
    <row r="184" spans="1:6" x14ac:dyDescent="0.2">
      <c r="D184" s="19"/>
      <c r="E184" s="19"/>
    </row>
    <row r="185" spans="1:6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9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</row>
    <row r="10" spans="1:17" s="100" customFormat="1" ht="62" customHeight="1" x14ac:dyDescent="0.2">
      <c r="A10" s="96"/>
      <c r="B10" s="97"/>
      <c r="C10" s="98"/>
      <c r="D10" s="99"/>
      <c r="E10" s="99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  <c r="G12" s="101"/>
      <c r="H12" s="101"/>
      <c r="I12" s="101"/>
      <c r="J12" s="101"/>
      <c r="K12" s="101"/>
      <c r="M12" s="101"/>
      <c r="N12" s="101"/>
      <c r="O12" s="101"/>
      <c r="P12" s="101"/>
      <c r="Q12" s="101"/>
    </row>
    <row r="13" spans="1:17" s="100" customFormat="1" ht="62" customHeight="1" x14ac:dyDescent="0.2">
      <c r="A13" s="96"/>
      <c r="B13" s="97"/>
      <c r="C13" s="98"/>
      <c r="D13" s="99"/>
      <c r="E13" s="99"/>
      <c r="G13" s="101"/>
      <c r="H13" s="101"/>
      <c r="I13" s="101"/>
      <c r="J13" s="101"/>
      <c r="K13" s="101"/>
      <c r="M13" s="101"/>
      <c r="N13" s="101"/>
      <c r="O13" s="101"/>
      <c r="P13" s="101"/>
      <c r="Q13" s="101"/>
    </row>
    <row r="14" spans="1:17" s="100" customFormat="1" ht="62" customHeight="1" x14ac:dyDescent="0.2">
      <c r="A14" s="96"/>
      <c r="B14" s="97"/>
      <c r="C14" s="98"/>
      <c r="D14" s="99"/>
      <c r="E14" s="99"/>
      <c r="F14" s="101"/>
      <c r="G14" s="101"/>
      <c r="H14" s="101"/>
      <c r="I14" s="101"/>
      <c r="J14" s="101"/>
      <c r="K14" s="101"/>
      <c r="M14" s="101"/>
      <c r="N14" s="101"/>
      <c r="O14" s="101"/>
      <c r="P14" s="101"/>
      <c r="Q14" s="101"/>
    </row>
    <row r="15" spans="1:17" s="100" customFormat="1" ht="62" customHeight="1" x14ac:dyDescent="0.2">
      <c r="A15" s="96"/>
      <c r="B15" s="97"/>
      <c r="C15" s="98"/>
      <c r="D15" s="99"/>
      <c r="E15" s="99"/>
      <c r="G15" s="101"/>
      <c r="H15" s="101"/>
      <c r="I15" s="101"/>
      <c r="J15" s="101"/>
      <c r="K15" s="101"/>
      <c r="M15" s="101"/>
      <c r="N15" s="101"/>
      <c r="O15" s="101"/>
      <c r="P15" s="101"/>
      <c r="Q15" s="101"/>
    </row>
    <row r="16" spans="1:17" s="101" customFormat="1" ht="62" customHeight="1" x14ac:dyDescent="0.2">
      <c r="A16" s="102"/>
      <c r="B16" s="103"/>
      <c r="C16" s="98"/>
      <c r="D16" s="99"/>
      <c r="E16" s="99"/>
      <c r="F16" s="100"/>
      <c r="G16" s="100"/>
      <c r="H16" s="100"/>
      <c r="I16" s="100"/>
      <c r="J16" s="100"/>
      <c r="K16" s="100"/>
      <c r="M16" s="100"/>
      <c r="N16" s="100"/>
      <c r="O16" s="100"/>
      <c r="P16" s="100"/>
      <c r="Q16" s="100"/>
    </row>
    <row r="17" spans="1:6" s="100" customFormat="1" ht="62" customHeight="1" x14ac:dyDescent="0.2">
      <c r="A17" s="102"/>
      <c r="B17" s="103"/>
      <c r="C17" s="98"/>
      <c r="D17" s="99"/>
      <c r="E17" s="99"/>
    </row>
    <row r="18" spans="1:6" s="100" customFormat="1" ht="62" customHeight="1" x14ac:dyDescent="0.2">
      <c r="A18" s="102"/>
      <c r="B18" s="103"/>
      <c r="C18" s="98"/>
      <c r="D18" s="104"/>
      <c r="E18" s="104"/>
    </row>
    <row r="19" spans="1:6" s="100" customFormat="1" ht="62" customHeight="1" x14ac:dyDescent="0.2">
      <c r="A19" s="102"/>
      <c r="B19" s="103"/>
      <c r="C19" s="98"/>
      <c r="D19" s="104"/>
      <c r="E19" s="104"/>
    </row>
    <row r="20" spans="1:6" s="100" customFormat="1" ht="62" customHeight="1" x14ac:dyDescent="0.2">
      <c r="A20" s="102"/>
      <c r="B20" s="103"/>
      <c r="C20" s="98"/>
      <c r="D20" s="104"/>
      <c r="E20" s="104"/>
    </row>
    <row r="21" spans="1:6" s="100" customFormat="1" ht="62" customHeight="1" x14ac:dyDescent="0.2">
      <c r="A21" s="102"/>
      <c r="B21" s="103"/>
      <c r="C21" s="98"/>
      <c r="D21" s="104"/>
      <c r="E21" s="104"/>
    </row>
    <row r="22" spans="1:6" s="17" customFormat="1" ht="62" customHeight="1" x14ac:dyDescent="0.15">
      <c r="A22" s="102"/>
      <c r="B22" s="103"/>
      <c r="C22" s="98"/>
      <c r="D22" s="104"/>
      <c r="E22" s="104"/>
      <c r="F22" s="100"/>
    </row>
    <row r="23" spans="1:6" s="17" customFormat="1" ht="62" customHeight="1" x14ac:dyDescent="0.15">
      <c r="A23" s="102"/>
      <c r="B23" s="103"/>
      <c r="C23" s="98"/>
      <c r="D23" s="104"/>
      <c r="E23" s="104"/>
      <c r="F23" s="100"/>
    </row>
    <row r="24" spans="1:6" s="17" customFormat="1" ht="62" customHeight="1" x14ac:dyDescent="0.15">
      <c r="A24" s="102"/>
      <c r="B24" s="103"/>
      <c r="C24" s="105"/>
      <c r="D24" s="104"/>
      <c r="E24" s="104"/>
      <c r="F24" s="100"/>
    </row>
    <row r="25" spans="1:6" s="17" customFormat="1" ht="62" customHeight="1" x14ac:dyDescent="0.15">
      <c r="A25" s="102"/>
      <c r="B25" s="103"/>
      <c r="C25" s="98"/>
      <c r="D25" s="104"/>
      <c r="E25" s="104"/>
      <c r="F25" s="100"/>
    </row>
    <row r="26" spans="1:6" s="17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ht="62" customHeight="1" x14ac:dyDescent="0.2">
      <c r="D186" s="19"/>
      <c r="E186" s="19"/>
    </row>
    <row r="187" spans="1:6" ht="62" customHeight="1" x14ac:dyDescent="0.2">
      <c r="D187" s="19"/>
      <c r="E187" s="19"/>
    </row>
    <row r="188" spans="1:6" ht="62" customHeight="1" x14ac:dyDescent="0.2">
      <c r="D188" s="19"/>
      <c r="E188" s="19"/>
    </row>
    <row r="189" spans="1:6" ht="62" customHeight="1" x14ac:dyDescent="0.2">
      <c r="D189" s="19"/>
      <c r="E189" s="19"/>
    </row>
    <row r="190" spans="1:6" ht="62" customHeight="1" x14ac:dyDescent="0.2">
      <c r="D190" s="19"/>
      <c r="E190" s="19"/>
    </row>
    <row r="191" spans="1:6" ht="62" customHeight="1" x14ac:dyDescent="0.2">
      <c r="D191" s="19"/>
      <c r="E191" s="19"/>
    </row>
    <row r="192" spans="1:6" ht="62" customHeight="1" x14ac:dyDescent="0.2">
      <c r="D192" s="19"/>
      <c r="E192" s="19"/>
    </row>
    <row r="193" spans="4:5" x14ac:dyDescent="0.2">
      <c r="D193" s="19"/>
      <c r="E193" s="19"/>
    </row>
    <row r="194" spans="4:5" x14ac:dyDescent="0.2">
      <c r="D194" s="19"/>
      <c r="E194" s="19"/>
    </row>
    <row r="195" spans="4:5" x14ac:dyDescent="0.2">
      <c r="D195" s="19"/>
      <c r="E195" s="19"/>
    </row>
    <row r="196" spans="4:5" x14ac:dyDescent="0.2">
      <c r="D196" s="19"/>
      <c r="E196" s="19"/>
    </row>
    <row r="197" spans="4:5" x14ac:dyDescent="0.2">
      <c r="D197" s="19"/>
      <c r="E197" s="19"/>
    </row>
    <row r="198" spans="4:5" x14ac:dyDescent="0.2">
      <c r="D198" s="19"/>
      <c r="E198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191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F10" s="100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  <row r="191" spans="1:6" x14ac:dyDescent="0.2">
      <c r="D191" s="19"/>
      <c r="E191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191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F10" s="100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  <row r="191" spans="1:6" x14ac:dyDescent="0.2">
      <c r="D191" s="19"/>
      <c r="E191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B358-55A1-0F42-9948-65AA425EDB6A}">
  <sheetPr>
    <pageSetUpPr fitToPage="1"/>
  </sheetPr>
  <dimension ref="A1:Q191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F10" s="100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  <row r="191" spans="1:6" x14ac:dyDescent="0.2">
      <c r="D191" s="19"/>
      <c r="E191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91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F10" s="100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  <row r="191" spans="1:6" x14ac:dyDescent="0.2">
      <c r="D191" s="19"/>
      <c r="E191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191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F10" s="100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  <row r="191" spans="1:6" x14ac:dyDescent="0.2">
      <c r="D191" s="19"/>
      <c r="E191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190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F10" s="100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191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F10" s="100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  <row r="191" spans="1:6" x14ac:dyDescent="0.2">
      <c r="D191" s="19"/>
      <c r="E191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191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 x14ac:dyDescent="0.2"/>
  <cols>
    <col min="1" max="1" width="60.33203125" style="95" customWidth="1"/>
    <col min="2" max="2" width="60.33203125" style="1" customWidth="1"/>
    <col min="3" max="3" width="64.6640625" style="1" customWidth="1"/>
    <col min="4" max="4" width="66.1640625" style="18" customWidth="1"/>
    <col min="5" max="5" width="86.33203125" style="18" customWidth="1"/>
    <col min="6" max="6" width="6.6640625" style="100" customWidth="1"/>
    <col min="7" max="7" width="5.33203125" customWidth="1"/>
    <col min="8" max="8" width="40.83203125" style="1" customWidth="1"/>
    <col min="9" max="12" width="5.33203125" style="1" customWidth="1"/>
    <col min="13" max="13" width="8.6640625" style="1" customWidth="1"/>
    <col min="14" max="16384" width="8.6640625" style="1"/>
  </cols>
  <sheetData>
    <row r="1" spans="1:17" ht="68" customHeight="1" x14ac:dyDescent="0.2">
      <c r="A1" s="1"/>
      <c r="C1" s="2"/>
      <c r="D1" s="3"/>
      <c r="E1" s="3"/>
    </row>
    <row r="2" spans="1:17" ht="129" customHeight="1" x14ac:dyDescent="0.2">
      <c r="A2" s="1"/>
      <c r="C2" s="2"/>
      <c r="D2" s="3"/>
      <c r="E2" s="3"/>
    </row>
    <row r="3" spans="1:17" ht="45" customHeight="1" x14ac:dyDescent="0.2">
      <c r="A3" s="4" t="s">
        <v>0</v>
      </c>
      <c r="B3" s="33">
        <v>46113</v>
      </c>
      <c r="C3" s="5" t="s">
        <v>203</v>
      </c>
      <c r="D3" s="6">
        <f>COUNTA(E7:E13510)</f>
        <v>0</v>
      </c>
      <c r="E3" s="1"/>
    </row>
    <row r="4" spans="1:17" ht="47.75" customHeight="1" x14ac:dyDescent="0.2">
      <c r="A4" s="1"/>
      <c r="C4" s="2"/>
      <c r="D4" s="3"/>
      <c r="E4" s="3"/>
    </row>
    <row r="5" spans="1:17" ht="74" customHeight="1" x14ac:dyDescent="0.2">
      <c r="A5" s="7" t="s">
        <v>204</v>
      </c>
      <c r="B5" s="7" t="s">
        <v>205</v>
      </c>
      <c r="C5" s="8" t="s">
        <v>29</v>
      </c>
      <c r="D5" s="9" t="s">
        <v>206</v>
      </c>
      <c r="E5" s="9" t="s">
        <v>207</v>
      </c>
      <c r="G5" s="10"/>
    </row>
    <row r="6" spans="1:17" ht="49.25" customHeight="1" x14ac:dyDescent="0.2">
      <c r="A6" s="11" t="s">
        <v>208</v>
      </c>
      <c r="B6" s="11" t="s">
        <v>209</v>
      </c>
      <c r="C6" s="12" t="s">
        <v>30</v>
      </c>
      <c r="D6" s="13" t="s">
        <v>210</v>
      </c>
      <c r="E6" s="13" t="s">
        <v>211</v>
      </c>
      <c r="G6" s="10"/>
    </row>
    <row r="7" spans="1:17" s="100" customFormat="1" ht="62" customHeight="1" x14ac:dyDescent="0.2">
      <c r="A7" s="96"/>
      <c r="B7" s="97"/>
      <c r="C7" s="98"/>
      <c r="D7" s="99"/>
      <c r="E7" s="99"/>
    </row>
    <row r="8" spans="1:17" s="100" customFormat="1" ht="62" customHeight="1" x14ac:dyDescent="0.2">
      <c r="A8" s="96"/>
      <c r="B8" s="97"/>
      <c r="C8" s="98"/>
      <c r="D8" s="99"/>
      <c r="E8" s="99"/>
    </row>
    <row r="9" spans="1:17" s="100" customFormat="1" ht="62" customHeight="1" x14ac:dyDescent="0.2">
      <c r="A9" s="96"/>
      <c r="B9" s="97"/>
      <c r="C9" s="98"/>
      <c r="D9" s="99"/>
      <c r="E9" s="99"/>
      <c r="F9" s="101"/>
      <c r="G9" s="101"/>
      <c r="H9" s="101"/>
      <c r="I9" s="101"/>
      <c r="J9" s="101"/>
      <c r="K9" s="101"/>
      <c r="M9" s="101"/>
      <c r="N9" s="101"/>
      <c r="O9" s="101"/>
      <c r="P9" s="101"/>
      <c r="Q9" s="101"/>
    </row>
    <row r="10" spans="1:17" s="101" customFormat="1" ht="62" customHeight="1" x14ac:dyDescent="0.2">
      <c r="A10" s="96"/>
      <c r="B10" s="97"/>
      <c r="C10" s="98"/>
      <c r="D10" s="99"/>
      <c r="E10" s="99"/>
      <c r="F10" s="100"/>
      <c r="G10" s="100"/>
      <c r="H10" s="100"/>
      <c r="I10" s="100"/>
      <c r="J10" s="100"/>
      <c r="K10" s="100"/>
      <c r="M10" s="100"/>
      <c r="N10" s="100"/>
      <c r="O10" s="100"/>
      <c r="P10" s="100"/>
      <c r="Q10" s="100"/>
    </row>
    <row r="11" spans="1:17" s="100" customFormat="1" ht="62" customHeight="1" x14ac:dyDescent="0.2">
      <c r="A11" s="96"/>
      <c r="B11" s="97"/>
      <c r="C11" s="98"/>
      <c r="D11" s="99"/>
      <c r="E11" s="99"/>
    </row>
    <row r="12" spans="1:17" s="100" customFormat="1" ht="62" customHeight="1" x14ac:dyDescent="0.2">
      <c r="A12" s="96"/>
      <c r="B12" s="97"/>
      <c r="C12" s="98"/>
      <c r="D12" s="99"/>
      <c r="E12" s="99"/>
    </row>
    <row r="13" spans="1:17" s="100" customFormat="1" ht="62" customHeight="1" x14ac:dyDescent="0.2">
      <c r="A13" s="96"/>
      <c r="B13" s="97"/>
      <c r="C13" s="98"/>
      <c r="D13" s="99"/>
      <c r="E13" s="99"/>
    </row>
    <row r="14" spans="1:17" s="100" customFormat="1" ht="62" customHeight="1" x14ac:dyDescent="0.2">
      <c r="A14" s="96"/>
      <c r="B14" s="97"/>
      <c r="C14" s="98"/>
      <c r="D14" s="99"/>
      <c r="E14" s="99"/>
    </row>
    <row r="15" spans="1:17" s="17" customFormat="1" ht="62" customHeight="1" x14ac:dyDescent="0.15">
      <c r="A15" s="96"/>
      <c r="B15" s="97"/>
      <c r="C15" s="98"/>
      <c r="D15" s="99"/>
      <c r="E15" s="99"/>
      <c r="F15" s="100"/>
    </row>
    <row r="16" spans="1:17" s="17" customFormat="1" ht="62" customHeight="1" x14ac:dyDescent="0.15">
      <c r="A16" s="102"/>
      <c r="B16" s="103"/>
      <c r="C16" s="98"/>
      <c r="D16" s="99"/>
      <c r="E16" s="99"/>
      <c r="F16" s="100"/>
    </row>
    <row r="17" spans="1:6" s="17" customFormat="1" ht="62" customHeight="1" x14ac:dyDescent="0.15">
      <c r="A17" s="102"/>
      <c r="B17" s="103"/>
      <c r="C17" s="98"/>
      <c r="D17" s="99"/>
      <c r="E17" s="99"/>
      <c r="F17" s="100"/>
    </row>
    <row r="18" spans="1:6" s="17" customFormat="1" ht="62" customHeight="1" x14ac:dyDescent="0.15">
      <c r="A18" s="102"/>
      <c r="B18" s="103"/>
      <c r="C18" s="98"/>
      <c r="D18" s="104"/>
      <c r="E18" s="104"/>
      <c r="F18" s="100"/>
    </row>
    <row r="19" spans="1:6" s="17" customFormat="1" ht="62" customHeight="1" x14ac:dyDescent="0.15">
      <c r="A19" s="102"/>
      <c r="B19" s="103"/>
      <c r="C19" s="98"/>
      <c r="D19" s="104"/>
      <c r="E19" s="104"/>
      <c r="F19" s="100"/>
    </row>
    <row r="20" spans="1:6" s="106" customFormat="1" ht="62" customHeight="1" x14ac:dyDescent="0.15">
      <c r="A20" s="102"/>
      <c r="B20" s="103"/>
      <c r="C20" s="98"/>
      <c r="D20" s="104"/>
      <c r="E20" s="104"/>
      <c r="F20" s="100"/>
    </row>
    <row r="21" spans="1:6" s="106" customFormat="1" ht="62" customHeight="1" x14ac:dyDescent="0.15">
      <c r="A21" s="102"/>
      <c r="B21" s="103"/>
      <c r="C21" s="98"/>
      <c r="D21" s="104"/>
      <c r="E21" s="104"/>
      <c r="F21" s="100"/>
    </row>
    <row r="22" spans="1:6" s="106" customFormat="1" ht="62" customHeight="1" x14ac:dyDescent="0.15">
      <c r="A22" s="102"/>
      <c r="B22" s="103"/>
      <c r="C22" s="98"/>
      <c r="D22" s="104"/>
      <c r="E22" s="104"/>
      <c r="F22" s="100"/>
    </row>
    <row r="23" spans="1:6" s="106" customFormat="1" ht="62" customHeight="1" x14ac:dyDescent="0.15">
      <c r="A23" s="102"/>
      <c r="B23" s="103"/>
      <c r="C23" s="98"/>
      <c r="D23" s="104"/>
      <c r="E23" s="104"/>
      <c r="F23" s="100"/>
    </row>
    <row r="24" spans="1:6" s="106" customFormat="1" ht="62" customHeight="1" x14ac:dyDescent="0.15">
      <c r="A24" s="102"/>
      <c r="B24" s="103"/>
      <c r="C24" s="105"/>
      <c r="D24" s="104"/>
      <c r="E24" s="104"/>
      <c r="F24" s="100"/>
    </row>
    <row r="25" spans="1:6" s="106" customFormat="1" ht="62" customHeight="1" x14ac:dyDescent="0.15">
      <c r="A25" s="102"/>
      <c r="B25" s="103"/>
      <c r="C25" s="98"/>
      <c r="D25" s="104"/>
      <c r="E25" s="104"/>
      <c r="F25" s="100"/>
    </row>
    <row r="26" spans="1:6" s="106" customFormat="1" ht="62" customHeight="1" x14ac:dyDescent="0.15">
      <c r="A26" s="102"/>
      <c r="B26" s="103"/>
      <c r="C26" s="105"/>
      <c r="D26" s="104"/>
      <c r="E26" s="104"/>
      <c r="F26" s="100"/>
    </row>
    <row r="27" spans="1:6" s="106" customFormat="1" ht="62" customHeight="1" x14ac:dyDescent="0.15">
      <c r="A27" s="102"/>
      <c r="B27" s="103"/>
      <c r="C27" s="105"/>
      <c r="D27" s="104"/>
      <c r="E27" s="104"/>
      <c r="F27" s="100"/>
    </row>
    <row r="28" spans="1:6" s="106" customFormat="1" ht="62" customHeight="1" x14ac:dyDescent="0.15">
      <c r="A28" s="102"/>
      <c r="B28" s="103"/>
      <c r="C28" s="98"/>
      <c r="D28" s="104"/>
      <c r="E28" s="104"/>
      <c r="F28" s="100"/>
    </row>
    <row r="29" spans="1:6" s="106" customFormat="1" ht="62" customHeight="1" x14ac:dyDescent="0.15">
      <c r="A29" s="102"/>
      <c r="B29" s="103"/>
      <c r="C29" s="98"/>
      <c r="D29" s="104"/>
      <c r="E29" s="104"/>
      <c r="F29" s="100"/>
    </row>
    <row r="30" spans="1:6" s="106" customFormat="1" ht="62" customHeight="1" x14ac:dyDescent="0.15">
      <c r="A30" s="102"/>
      <c r="B30" s="103"/>
      <c r="C30" s="107"/>
      <c r="D30" s="104"/>
      <c r="E30" s="104"/>
      <c r="F30" s="100"/>
    </row>
    <row r="31" spans="1:6" s="106" customFormat="1" ht="62" customHeight="1" x14ac:dyDescent="0.15">
      <c r="A31" s="102"/>
      <c r="B31" s="103"/>
      <c r="C31" s="98"/>
      <c r="D31" s="104"/>
      <c r="E31" s="104"/>
      <c r="F31" s="100"/>
    </row>
    <row r="32" spans="1:6" s="106" customFormat="1" ht="62" customHeight="1" x14ac:dyDescent="0.15">
      <c r="A32" s="102"/>
      <c r="B32" s="103"/>
      <c r="C32" s="107"/>
      <c r="D32" s="104"/>
      <c r="E32" s="104"/>
      <c r="F32" s="100"/>
    </row>
    <row r="33" spans="1:6" s="106" customFormat="1" ht="62" customHeight="1" x14ac:dyDescent="0.15">
      <c r="A33" s="102"/>
      <c r="B33" s="103"/>
      <c r="C33" s="105"/>
      <c r="D33" s="104"/>
      <c r="E33" s="104"/>
      <c r="F33" s="100"/>
    </row>
    <row r="34" spans="1:6" s="106" customFormat="1" ht="62" customHeight="1" x14ac:dyDescent="0.15">
      <c r="A34" s="102"/>
      <c r="B34" s="103"/>
      <c r="C34" s="105"/>
      <c r="D34" s="104"/>
      <c r="E34" s="104"/>
      <c r="F34" s="100"/>
    </row>
    <row r="35" spans="1:6" s="106" customFormat="1" ht="62" customHeight="1" x14ac:dyDescent="0.15">
      <c r="A35" s="102"/>
      <c r="B35" s="103"/>
      <c r="C35" s="105"/>
      <c r="D35" s="104"/>
      <c r="E35" s="104"/>
      <c r="F35" s="100"/>
    </row>
    <row r="36" spans="1:6" s="106" customFormat="1" ht="62" customHeight="1" x14ac:dyDescent="0.15">
      <c r="A36" s="102"/>
      <c r="B36" s="103"/>
      <c r="C36" s="105"/>
      <c r="D36" s="104"/>
      <c r="E36" s="104"/>
      <c r="F36" s="100"/>
    </row>
    <row r="37" spans="1:6" s="106" customFormat="1" ht="62" customHeight="1" x14ac:dyDescent="0.15">
      <c r="A37" s="102"/>
      <c r="B37" s="103"/>
      <c r="C37" s="105"/>
      <c r="D37" s="104"/>
      <c r="E37" s="104"/>
      <c r="F37" s="100"/>
    </row>
    <row r="38" spans="1:6" s="106" customFormat="1" ht="62" customHeight="1" x14ac:dyDescent="0.15">
      <c r="A38" s="102"/>
      <c r="B38" s="103"/>
      <c r="C38" s="98"/>
      <c r="D38" s="104"/>
      <c r="E38" s="104"/>
      <c r="F38" s="100"/>
    </row>
    <row r="39" spans="1:6" s="106" customFormat="1" ht="62" customHeight="1" x14ac:dyDescent="0.15">
      <c r="A39" s="102"/>
      <c r="B39" s="103"/>
      <c r="C39" s="98"/>
      <c r="D39" s="104"/>
      <c r="E39" s="104"/>
      <c r="F39" s="100"/>
    </row>
    <row r="40" spans="1:6" s="106" customFormat="1" ht="62" customHeight="1" x14ac:dyDescent="0.15">
      <c r="A40" s="102"/>
      <c r="B40" s="103"/>
      <c r="C40" s="108"/>
      <c r="D40" s="104"/>
      <c r="E40" s="104"/>
      <c r="F40" s="100"/>
    </row>
    <row r="41" spans="1:6" s="106" customFormat="1" ht="62" customHeight="1" x14ac:dyDescent="0.15">
      <c r="A41" s="102"/>
      <c r="B41" s="103"/>
      <c r="C41" s="107"/>
      <c r="D41" s="104"/>
      <c r="E41" s="104"/>
      <c r="F41" s="100"/>
    </row>
    <row r="42" spans="1:6" s="106" customFormat="1" ht="62" customHeight="1" x14ac:dyDescent="0.15">
      <c r="A42" s="102"/>
      <c r="B42" s="103"/>
      <c r="C42" s="108"/>
      <c r="D42" s="104"/>
      <c r="E42" s="104"/>
      <c r="F42" s="100"/>
    </row>
    <row r="43" spans="1:6" s="106" customFormat="1" ht="62" customHeight="1" x14ac:dyDescent="0.15">
      <c r="A43" s="102"/>
      <c r="B43" s="103"/>
      <c r="C43" s="108"/>
      <c r="D43" s="104"/>
      <c r="E43" s="104"/>
      <c r="F43" s="100"/>
    </row>
    <row r="44" spans="1:6" s="106" customFormat="1" ht="62" customHeight="1" x14ac:dyDescent="0.15">
      <c r="A44" s="102"/>
      <c r="B44" s="103"/>
      <c r="C44" s="108"/>
      <c r="D44" s="104"/>
      <c r="E44" s="104"/>
      <c r="F44" s="100"/>
    </row>
    <row r="45" spans="1:6" s="106" customFormat="1" ht="62" customHeight="1" x14ac:dyDescent="0.15">
      <c r="A45" s="102"/>
      <c r="B45" s="103"/>
      <c r="C45" s="108"/>
      <c r="D45" s="104"/>
      <c r="E45" s="104"/>
      <c r="F45" s="100"/>
    </row>
    <row r="46" spans="1:6" s="106" customFormat="1" ht="62" customHeight="1" x14ac:dyDescent="0.15">
      <c r="A46" s="102"/>
      <c r="B46" s="103"/>
      <c r="C46" s="108"/>
      <c r="D46" s="104"/>
      <c r="E46" s="104"/>
      <c r="F46" s="100"/>
    </row>
    <row r="47" spans="1:6" s="106" customFormat="1" ht="62" customHeight="1" x14ac:dyDescent="0.15">
      <c r="A47" s="102"/>
      <c r="B47" s="103"/>
      <c r="C47" s="108"/>
      <c r="D47" s="104"/>
      <c r="E47" s="104"/>
      <c r="F47" s="100"/>
    </row>
    <row r="48" spans="1:6" s="106" customFormat="1" ht="62" customHeight="1" x14ac:dyDescent="0.15">
      <c r="A48" s="102"/>
      <c r="B48" s="103"/>
      <c r="C48" s="108"/>
      <c r="D48" s="104"/>
      <c r="E48" s="104"/>
      <c r="F48" s="100"/>
    </row>
    <row r="49" spans="1:6" s="106" customFormat="1" ht="62" customHeight="1" x14ac:dyDescent="0.15">
      <c r="A49" s="102"/>
      <c r="B49" s="103"/>
      <c r="C49" s="108"/>
      <c r="D49" s="104"/>
      <c r="E49" s="104"/>
      <c r="F49" s="100"/>
    </row>
    <row r="50" spans="1:6" s="106" customFormat="1" ht="62" customHeight="1" x14ac:dyDescent="0.15">
      <c r="A50" s="102"/>
      <c r="B50" s="103"/>
      <c r="C50" s="108"/>
      <c r="D50" s="104"/>
      <c r="E50" s="104"/>
      <c r="F50" s="100"/>
    </row>
    <row r="51" spans="1:6" s="106" customFormat="1" ht="62" customHeight="1" x14ac:dyDescent="0.15">
      <c r="A51" s="102"/>
      <c r="B51" s="103"/>
      <c r="C51" s="108"/>
      <c r="D51" s="104"/>
      <c r="E51" s="104"/>
      <c r="F51" s="100"/>
    </row>
    <row r="52" spans="1:6" s="106" customFormat="1" ht="62" customHeight="1" x14ac:dyDescent="0.15">
      <c r="A52" s="102"/>
      <c r="B52" s="103"/>
      <c r="C52" s="108"/>
      <c r="D52" s="104"/>
      <c r="E52" s="104"/>
      <c r="F52" s="100"/>
    </row>
    <row r="53" spans="1:6" s="106" customFormat="1" ht="62" customHeight="1" x14ac:dyDescent="0.15">
      <c r="A53" s="102"/>
      <c r="B53" s="103"/>
      <c r="C53" s="108"/>
      <c r="D53" s="104"/>
      <c r="E53" s="104"/>
      <c r="F53" s="100"/>
    </row>
    <row r="54" spans="1:6" s="106" customFormat="1" ht="62" customHeight="1" x14ac:dyDescent="0.15">
      <c r="A54" s="102"/>
      <c r="B54" s="103"/>
      <c r="C54" s="108"/>
      <c r="D54" s="104"/>
      <c r="E54" s="104"/>
      <c r="F54" s="100"/>
    </row>
    <row r="55" spans="1:6" s="106" customFormat="1" ht="62" customHeight="1" x14ac:dyDescent="0.15">
      <c r="A55" s="102"/>
      <c r="B55" s="103"/>
      <c r="C55" s="108"/>
      <c r="D55" s="104"/>
      <c r="E55" s="104"/>
      <c r="F55" s="100"/>
    </row>
    <row r="56" spans="1:6" s="106" customFormat="1" ht="62" customHeight="1" x14ac:dyDescent="0.15">
      <c r="A56" s="102"/>
      <c r="B56" s="103"/>
      <c r="C56" s="108"/>
      <c r="D56" s="104"/>
      <c r="E56" s="104"/>
      <c r="F56" s="100"/>
    </row>
    <row r="57" spans="1:6" s="106" customFormat="1" ht="62" customHeight="1" x14ac:dyDescent="0.15">
      <c r="A57" s="102"/>
      <c r="B57" s="103"/>
      <c r="C57" s="108"/>
      <c r="D57" s="104"/>
      <c r="E57" s="104"/>
      <c r="F57" s="100"/>
    </row>
    <row r="58" spans="1:6" s="106" customFormat="1" ht="62" customHeight="1" x14ac:dyDescent="0.15">
      <c r="A58" s="102"/>
      <c r="B58" s="103"/>
      <c r="C58" s="108"/>
      <c r="D58" s="104"/>
      <c r="E58" s="104"/>
      <c r="F58" s="100"/>
    </row>
    <row r="59" spans="1:6" s="106" customFormat="1" ht="62" customHeight="1" x14ac:dyDescent="0.15">
      <c r="A59" s="102"/>
      <c r="B59" s="103"/>
      <c r="C59" s="108"/>
      <c r="D59" s="104"/>
      <c r="E59" s="104"/>
      <c r="F59" s="100"/>
    </row>
    <row r="60" spans="1:6" s="106" customFormat="1" ht="62" customHeight="1" x14ac:dyDescent="0.15">
      <c r="A60" s="102"/>
      <c r="B60" s="103"/>
      <c r="C60" s="108"/>
      <c r="D60" s="104"/>
      <c r="E60" s="104"/>
      <c r="F60" s="100"/>
    </row>
    <row r="61" spans="1:6" s="106" customFormat="1" ht="62" customHeight="1" x14ac:dyDescent="0.15">
      <c r="A61" s="102"/>
      <c r="B61" s="103"/>
      <c r="C61" s="108"/>
      <c r="D61" s="104"/>
      <c r="E61" s="104"/>
      <c r="F61" s="100"/>
    </row>
    <row r="62" spans="1:6" s="106" customFormat="1" ht="62" customHeight="1" x14ac:dyDescent="0.15">
      <c r="A62" s="102"/>
      <c r="B62" s="103"/>
      <c r="C62" s="108"/>
      <c r="D62" s="104"/>
      <c r="E62" s="104"/>
      <c r="F62" s="100"/>
    </row>
    <row r="63" spans="1:6" s="106" customFormat="1" ht="62" customHeight="1" x14ac:dyDescent="0.15">
      <c r="A63" s="102"/>
      <c r="B63" s="103"/>
      <c r="C63" s="108"/>
      <c r="D63" s="104"/>
      <c r="E63" s="104"/>
      <c r="F63" s="100"/>
    </row>
    <row r="64" spans="1:6" s="106" customFormat="1" ht="62" customHeight="1" x14ac:dyDescent="0.15">
      <c r="A64" s="102"/>
      <c r="B64" s="103"/>
      <c r="C64" s="108"/>
      <c r="D64" s="104"/>
      <c r="E64" s="104"/>
      <c r="F64" s="100"/>
    </row>
    <row r="65" spans="1:6" s="106" customFormat="1" ht="62" customHeight="1" x14ac:dyDescent="0.15">
      <c r="A65" s="102"/>
      <c r="B65" s="103"/>
      <c r="C65" s="108"/>
      <c r="D65" s="104"/>
      <c r="E65" s="104"/>
      <c r="F65" s="100"/>
    </row>
    <row r="66" spans="1:6" s="106" customFormat="1" ht="62" customHeight="1" x14ac:dyDescent="0.15">
      <c r="A66" s="96"/>
      <c r="B66" s="97"/>
      <c r="C66" s="98"/>
      <c r="D66" s="99"/>
      <c r="E66" s="99"/>
      <c r="F66" s="100"/>
    </row>
    <row r="67" spans="1:6" s="106" customFormat="1" ht="62" customHeight="1" x14ac:dyDescent="0.15">
      <c r="A67" s="96"/>
      <c r="B67" s="97"/>
      <c r="C67" s="98"/>
      <c r="D67" s="99"/>
      <c r="E67" s="99"/>
      <c r="F67" s="100"/>
    </row>
    <row r="68" spans="1:6" s="106" customFormat="1" ht="62" customHeight="1" x14ac:dyDescent="0.15">
      <c r="A68" s="96"/>
      <c r="B68" s="97"/>
      <c r="C68" s="98"/>
      <c r="D68" s="99"/>
      <c r="E68" s="99"/>
      <c r="F68" s="100"/>
    </row>
    <row r="69" spans="1:6" s="106" customFormat="1" ht="62" customHeight="1" x14ac:dyDescent="0.15">
      <c r="A69" s="96"/>
      <c r="B69" s="97"/>
      <c r="C69" s="98"/>
      <c r="D69" s="99"/>
      <c r="E69" s="99"/>
      <c r="F69" s="100"/>
    </row>
    <row r="70" spans="1:6" s="106" customFormat="1" ht="62" customHeight="1" x14ac:dyDescent="0.15">
      <c r="A70" s="96"/>
      <c r="B70" s="97"/>
      <c r="C70" s="98"/>
      <c r="D70" s="99"/>
      <c r="E70" s="99"/>
      <c r="F70" s="100"/>
    </row>
    <row r="71" spans="1:6" s="106" customFormat="1" ht="62" customHeight="1" x14ac:dyDescent="0.15">
      <c r="A71" s="96"/>
      <c r="B71" s="97"/>
      <c r="C71" s="98"/>
      <c r="D71" s="99"/>
      <c r="E71" s="99"/>
      <c r="F71" s="100"/>
    </row>
    <row r="72" spans="1:6" s="106" customFormat="1" ht="62" customHeight="1" x14ac:dyDescent="0.15">
      <c r="A72" s="96"/>
      <c r="B72" s="97"/>
      <c r="C72" s="98"/>
      <c r="D72" s="99"/>
      <c r="E72" s="99"/>
      <c r="F72" s="100"/>
    </row>
    <row r="73" spans="1:6" s="106" customFormat="1" ht="62" customHeight="1" x14ac:dyDescent="0.15">
      <c r="A73" s="96"/>
      <c r="B73" s="97"/>
      <c r="C73" s="98"/>
      <c r="D73" s="99"/>
      <c r="E73" s="99"/>
      <c r="F73" s="100"/>
    </row>
    <row r="74" spans="1:6" s="106" customFormat="1" ht="62" customHeight="1" x14ac:dyDescent="0.15">
      <c r="A74" s="96"/>
      <c r="B74" s="97"/>
      <c r="C74" s="98"/>
      <c r="D74" s="99"/>
      <c r="E74" s="99"/>
      <c r="F74" s="100"/>
    </row>
    <row r="75" spans="1:6" s="106" customFormat="1" ht="62" customHeight="1" x14ac:dyDescent="0.15">
      <c r="A75" s="102"/>
      <c r="B75" s="103"/>
      <c r="C75" s="98"/>
      <c r="D75" s="99"/>
      <c r="E75" s="99"/>
      <c r="F75" s="100"/>
    </row>
    <row r="76" spans="1:6" s="106" customFormat="1" ht="62" customHeight="1" x14ac:dyDescent="0.15">
      <c r="A76" s="102"/>
      <c r="B76" s="103"/>
      <c r="C76" s="98"/>
      <c r="D76" s="99"/>
      <c r="E76" s="99"/>
      <c r="F76" s="100"/>
    </row>
    <row r="77" spans="1:6" s="106" customFormat="1" ht="62" customHeight="1" x14ac:dyDescent="0.15">
      <c r="A77" s="102"/>
      <c r="B77" s="103"/>
      <c r="C77" s="98"/>
      <c r="D77" s="104"/>
      <c r="E77" s="104"/>
      <c r="F77" s="100"/>
    </row>
    <row r="78" spans="1:6" s="106" customFormat="1" ht="62" customHeight="1" x14ac:dyDescent="0.15">
      <c r="A78" s="102"/>
      <c r="B78" s="103"/>
      <c r="C78" s="98"/>
      <c r="D78" s="104"/>
      <c r="E78" s="104"/>
      <c r="F78" s="100"/>
    </row>
    <row r="79" spans="1:6" s="106" customFormat="1" ht="62" customHeight="1" x14ac:dyDescent="0.15">
      <c r="A79" s="102"/>
      <c r="B79" s="103"/>
      <c r="C79" s="98"/>
      <c r="D79" s="104"/>
      <c r="E79" s="104"/>
      <c r="F79" s="100"/>
    </row>
    <row r="80" spans="1:6" s="106" customFormat="1" ht="62" customHeight="1" x14ac:dyDescent="0.15">
      <c r="A80" s="102"/>
      <c r="B80" s="103"/>
      <c r="C80" s="98"/>
      <c r="D80" s="104"/>
      <c r="E80" s="104"/>
      <c r="F80" s="100"/>
    </row>
    <row r="81" spans="1:6" s="106" customFormat="1" ht="62" customHeight="1" x14ac:dyDescent="0.15">
      <c r="A81" s="102"/>
      <c r="B81" s="103"/>
      <c r="C81" s="98"/>
      <c r="D81" s="104"/>
      <c r="E81" s="104"/>
      <c r="F81" s="100"/>
    </row>
    <row r="82" spans="1:6" s="106" customFormat="1" ht="62" customHeight="1" x14ac:dyDescent="0.15">
      <c r="A82" s="102"/>
      <c r="B82" s="103"/>
      <c r="C82" s="98"/>
      <c r="D82" s="104"/>
      <c r="E82" s="104"/>
      <c r="F82" s="100"/>
    </row>
    <row r="83" spans="1:6" s="106" customFormat="1" ht="62" customHeight="1" x14ac:dyDescent="0.15">
      <c r="A83" s="102"/>
      <c r="B83" s="103"/>
      <c r="C83" s="105"/>
      <c r="D83" s="104"/>
      <c r="E83" s="104"/>
      <c r="F83" s="100"/>
    </row>
    <row r="84" spans="1:6" s="106" customFormat="1" ht="62" customHeight="1" x14ac:dyDescent="0.15">
      <c r="A84" s="102"/>
      <c r="B84" s="103"/>
      <c r="C84" s="98"/>
      <c r="D84" s="104"/>
      <c r="E84" s="104"/>
      <c r="F84" s="100"/>
    </row>
    <row r="85" spans="1:6" s="106" customFormat="1" ht="62" customHeight="1" x14ac:dyDescent="0.15">
      <c r="A85" s="102"/>
      <c r="B85" s="103"/>
      <c r="C85" s="105"/>
      <c r="D85" s="104"/>
      <c r="E85" s="104"/>
      <c r="F85" s="100"/>
    </row>
    <row r="86" spans="1:6" s="106" customFormat="1" ht="62" customHeight="1" x14ac:dyDescent="0.15">
      <c r="A86" s="102"/>
      <c r="B86" s="103"/>
      <c r="C86" s="105"/>
      <c r="D86" s="104"/>
      <c r="E86" s="104"/>
      <c r="F86" s="100"/>
    </row>
    <row r="87" spans="1:6" s="106" customFormat="1" ht="62" customHeight="1" x14ac:dyDescent="0.15">
      <c r="A87" s="102"/>
      <c r="B87" s="103"/>
      <c r="C87" s="98"/>
      <c r="D87" s="104"/>
      <c r="E87" s="104"/>
      <c r="F87" s="100"/>
    </row>
    <row r="88" spans="1:6" s="106" customFormat="1" ht="62" customHeight="1" x14ac:dyDescent="0.15">
      <c r="A88" s="102"/>
      <c r="B88" s="103"/>
      <c r="C88" s="98"/>
      <c r="D88" s="104"/>
      <c r="E88" s="104"/>
      <c r="F88" s="100"/>
    </row>
    <row r="89" spans="1:6" s="106" customFormat="1" ht="62" customHeight="1" x14ac:dyDescent="0.15">
      <c r="A89" s="102"/>
      <c r="B89" s="103"/>
      <c r="C89" s="107"/>
      <c r="D89" s="104"/>
      <c r="E89" s="104"/>
      <c r="F89" s="100"/>
    </row>
    <row r="90" spans="1:6" s="106" customFormat="1" ht="62" customHeight="1" x14ac:dyDescent="0.15">
      <c r="A90" s="102"/>
      <c r="B90" s="103"/>
      <c r="C90" s="98"/>
      <c r="D90" s="104"/>
      <c r="E90" s="104"/>
      <c r="F90" s="100"/>
    </row>
    <row r="91" spans="1:6" s="106" customFormat="1" ht="62" customHeight="1" x14ac:dyDescent="0.15">
      <c r="A91" s="102"/>
      <c r="B91" s="103"/>
      <c r="C91" s="107"/>
      <c r="D91" s="104"/>
      <c r="E91" s="104"/>
      <c r="F91" s="100"/>
    </row>
    <row r="92" spans="1:6" s="106" customFormat="1" ht="62" customHeight="1" x14ac:dyDescent="0.15">
      <c r="A92" s="102"/>
      <c r="B92" s="103"/>
      <c r="C92" s="105"/>
      <c r="D92" s="104"/>
      <c r="E92" s="104"/>
      <c r="F92" s="100"/>
    </row>
    <row r="93" spans="1:6" s="106" customFormat="1" ht="62" customHeight="1" x14ac:dyDescent="0.15">
      <c r="A93" s="102"/>
      <c r="B93" s="103"/>
      <c r="C93" s="105"/>
      <c r="D93" s="104"/>
      <c r="E93" s="104"/>
      <c r="F93" s="100"/>
    </row>
    <row r="94" spans="1:6" s="106" customFormat="1" ht="62" customHeight="1" x14ac:dyDescent="0.15">
      <c r="A94" s="102"/>
      <c r="B94" s="103"/>
      <c r="C94" s="105"/>
      <c r="D94" s="104"/>
      <c r="E94" s="104"/>
      <c r="F94" s="100"/>
    </row>
    <row r="95" spans="1:6" s="106" customFormat="1" ht="62" customHeight="1" x14ac:dyDescent="0.15">
      <c r="A95" s="102"/>
      <c r="B95" s="103"/>
      <c r="C95" s="105"/>
      <c r="D95" s="104"/>
      <c r="E95" s="104"/>
      <c r="F95" s="100"/>
    </row>
    <row r="96" spans="1:6" s="106" customFormat="1" ht="62" customHeight="1" x14ac:dyDescent="0.15">
      <c r="A96" s="102"/>
      <c r="B96" s="103"/>
      <c r="C96" s="105"/>
      <c r="D96" s="104"/>
      <c r="E96" s="104"/>
      <c r="F96" s="100"/>
    </row>
    <row r="97" spans="1:6" s="106" customFormat="1" ht="62" customHeight="1" x14ac:dyDescent="0.15">
      <c r="A97" s="102"/>
      <c r="B97" s="103"/>
      <c r="C97" s="98"/>
      <c r="D97" s="104"/>
      <c r="E97" s="104"/>
      <c r="F97" s="100"/>
    </row>
    <row r="98" spans="1:6" s="106" customFormat="1" ht="62" customHeight="1" x14ac:dyDescent="0.15">
      <c r="A98" s="102"/>
      <c r="B98" s="103"/>
      <c r="C98" s="98"/>
      <c r="D98" s="104"/>
      <c r="E98" s="104"/>
      <c r="F98" s="100"/>
    </row>
    <row r="99" spans="1:6" s="106" customFormat="1" ht="62" customHeight="1" x14ac:dyDescent="0.15">
      <c r="A99" s="102"/>
      <c r="B99" s="103"/>
      <c r="C99" s="108"/>
      <c r="D99" s="104"/>
      <c r="E99" s="104"/>
      <c r="F99" s="100"/>
    </row>
    <row r="100" spans="1:6" s="106" customFormat="1" ht="62" customHeight="1" x14ac:dyDescent="0.15">
      <c r="A100" s="102"/>
      <c r="B100" s="103"/>
      <c r="C100" s="107"/>
      <c r="D100" s="104"/>
      <c r="E100" s="104"/>
      <c r="F100" s="100"/>
    </row>
    <row r="101" spans="1:6" s="106" customFormat="1" ht="62" customHeight="1" x14ac:dyDescent="0.15">
      <c r="A101" s="102"/>
      <c r="B101" s="103"/>
      <c r="C101" s="108"/>
      <c r="D101" s="104"/>
      <c r="E101" s="104"/>
      <c r="F101" s="100"/>
    </row>
    <row r="102" spans="1:6" s="106" customFormat="1" ht="62" customHeight="1" x14ac:dyDescent="0.15">
      <c r="A102" s="102"/>
      <c r="B102" s="103"/>
      <c r="C102" s="108"/>
      <c r="D102" s="104"/>
      <c r="E102" s="104"/>
      <c r="F102" s="100"/>
    </row>
    <row r="103" spans="1:6" s="106" customFormat="1" ht="62" customHeight="1" x14ac:dyDescent="0.15">
      <c r="A103" s="102"/>
      <c r="B103" s="103"/>
      <c r="C103" s="108"/>
      <c r="D103" s="104"/>
      <c r="E103" s="104"/>
      <c r="F103" s="100"/>
    </row>
    <row r="104" spans="1:6" s="106" customFormat="1" ht="62" customHeight="1" x14ac:dyDescent="0.15">
      <c r="A104" s="102"/>
      <c r="B104" s="103"/>
      <c r="C104" s="108"/>
      <c r="D104" s="104"/>
      <c r="E104" s="104"/>
      <c r="F104" s="100"/>
    </row>
    <row r="105" spans="1:6" s="106" customFormat="1" ht="62" customHeight="1" x14ac:dyDescent="0.15">
      <c r="A105" s="102"/>
      <c r="B105" s="103"/>
      <c r="C105" s="108"/>
      <c r="D105" s="104"/>
      <c r="E105" s="104"/>
      <c r="F105" s="100"/>
    </row>
    <row r="106" spans="1:6" s="106" customFormat="1" ht="62" customHeight="1" x14ac:dyDescent="0.15">
      <c r="A106" s="102"/>
      <c r="B106" s="103"/>
      <c r="C106" s="108"/>
      <c r="D106" s="104"/>
      <c r="E106" s="104"/>
      <c r="F106" s="100"/>
    </row>
    <row r="107" spans="1:6" s="106" customFormat="1" ht="62" customHeight="1" x14ac:dyDescent="0.15">
      <c r="A107" s="102"/>
      <c r="B107" s="103"/>
      <c r="C107" s="108"/>
      <c r="D107" s="104"/>
      <c r="E107" s="104"/>
      <c r="F107" s="100"/>
    </row>
    <row r="108" spans="1:6" s="106" customFormat="1" ht="62" customHeight="1" x14ac:dyDescent="0.15">
      <c r="A108" s="102"/>
      <c r="B108" s="103"/>
      <c r="C108" s="108"/>
      <c r="D108" s="104"/>
      <c r="E108" s="104"/>
      <c r="F108" s="100"/>
    </row>
    <row r="109" spans="1:6" s="106" customFormat="1" ht="62" customHeight="1" x14ac:dyDescent="0.15">
      <c r="A109" s="102"/>
      <c r="B109" s="103"/>
      <c r="C109" s="108"/>
      <c r="D109" s="104"/>
      <c r="E109" s="104"/>
      <c r="F109" s="100"/>
    </row>
    <row r="110" spans="1:6" s="106" customFormat="1" ht="62" customHeight="1" x14ac:dyDescent="0.15">
      <c r="A110" s="102"/>
      <c r="B110" s="103"/>
      <c r="C110" s="108"/>
      <c r="D110" s="104"/>
      <c r="E110" s="104"/>
      <c r="F110" s="100"/>
    </row>
    <row r="111" spans="1:6" s="106" customFormat="1" ht="62" customHeight="1" x14ac:dyDescent="0.15">
      <c r="A111" s="102"/>
      <c r="B111" s="103"/>
      <c r="C111" s="108"/>
      <c r="D111" s="104"/>
      <c r="E111" s="104"/>
      <c r="F111" s="100"/>
    </row>
    <row r="112" spans="1:6" s="106" customFormat="1" ht="62" customHeight="1" x14ac:dyDescent="0.15">
      <c r="A112" s="102"/>
      <c r="B112" s="103"/>
      <c r="C112" s="108"/>
      <c r="D112" s="104"/>
      <c r="E112" s="104"/>
      <c r="F112" s="100"/>
    </row>
    <row r="113" spans="1:6" s="106" customFormat="1" ht="62" customHeight="1" x14ac:dyDescent="0.15">
      <c r="A113" s="102"/>
      <c r="B113" s="103"/>
      <c r="C113" s="108"/>
      <c r="D113" s="104"/>
      <c r="E113" s="104"/>
      <c r="F113" s="100"/>
    </row>
    <row r="114" spans="1:6" s="106" customFormat="1" ht="62" customHeight="1" x14ac:dyDescent="0.15">
      <c r="A114" s="102"/>
      <c r="B114" s="103"/>
      <c r="C114" s="108"/>
      <c r="D114" s="104"/>
      <c r="E114" s="104"/>
      <c r="F114" s="100"/>
    </row>
    <row r="115" spans="1:6" s="106" customFormat="1" ht="62" customHeight="1" x14ac:dyDescent="0.15">
      <c r="A115" s="102"/>
      <c r="B115" s="103"/>
      <c r="C115" s="108"/>
      <c r="D115" s="104"/>
      <c r="E115" s="104"/>
      <c r="F115" s="100"/>
    </row>
    <row r="116" spans="1:6" s="106" customFormat="1" ht="62" customHeight="1" x14ac:dyDescent="0.15">
      <c r="A116" s="102"/>
      <c r="B116" s="103"/>
      <c r="C116" s="108"/>
      <c r="D116" s="104"/>
      <c r="E116" s="104"/>
      <c r="F116" s="100"/>
    </row>
    <row r="117" spans="1:6" s="106" customFormat="1" ht="62" customHeight="1" x14ac:dyDescent="0.15">
      <c r="A117" s="102"/>
      <c r="B117" s="103"/>
      <c r="C117" s="108"/>
      <c r="D117" s="104"/>
      <c r="E117" s="104"/>
      <c r="F117" s="100"/>
    </row>
    <row r="118" spans="1:6" s="106" customFormat="1" ht="62" customHeight="1" x14ac:dyDescent="0.15">
      <c r="A118" s="102"/>
      <c r="B118" s="103"/>
      <c r="C118" s="108"/>
      <c r="D118" s="104"/>
      <c r="E118" s="104"/>
      <c r="F118" s="100"/>
    </row>
    <row r="119" spans="1:6" s="106" customFormat="1" ht="62" customHeight="1" x14ac:dyDescent="0.15">
      <c r="A119" s="102"/>
      <c r="B119" s="103"/>
      <c r="C119" s="108"/>
      <c r="D119" s="104"/>
      <c r="E119" s="104"/>
      <c r="F119" s="100"/>
    </row>
    <row r="120" spans="1:6" s="106" customFormat="1" ht="62" customHeight="1" x14ac:dyDescent="0.15">
      <c r="A120" s="102"/>
      <c r="B120" s="103"/>
      <c r="C120" s="108"/>
      <c r="D120" s="104"/>
      <c r="E120" s="104"/>
      <c r="F120" s="100"/>
    </row>
    <row r="121" spans="1:6" s="106" customFormat="1" ht="62" customHeight="1" x14ac:dyDescent="0.15">
      <c r="A121" s="102"/>
      <c r="B121" s="103"/>
      <c r="C121" s="108"/>
      <c r="D121" s="104"/>
      <c r="E121" s="104"/>
      <c r="F121" s="100"/>
    </row>
    <row r="122" spans="1:6" s="106" customFormat="1" ht="62" customHeight="1" x14ac:dyDescent="0.15">
      <c r="A122" s="102"/>
      <c r="B122" s="103"/>
      <c r="C122" s="108"/>
      <c r="D122" s="104"/>
      <c r="E122" s="104"/>
      <c r="F122" s="100"/>
    </row>
    <row r="123" spans="1:6" s="106" customFormat="1" ht="62" customHeight="1" x14ac:dyDescent="0.15">
      <c r="A123" s="102"/>
      <c r="B123" s="103"/>
      <c r="C123" s="108"/>
      <c r="D123" s="104"/>
      <c r="E123" s="104"/>
      <c r="F123" s="100"/>
    </row>
    <row r="124" spans="1:6" s="106" customFormat="1" ht="62" customHeight="1" x14ac:dyDescent="0.15">
      <c r="A124" s="102"/>
      <c r="B124" s="103"/>
      <c r="C124" s="108"/>
      <c r="D124" s="104"/>
      <c r="E124" s="104"/>
      <c r="F124" s="100"/>
    </row>
    <row r="125" spans="1:6" s="106" customFormat="1" ht="62" customHeight="1" x14ac:dyDescent="0.15">
      <c r="A125" s="96"/>
      <c r="B125" s="97"/>
      <c r="C125" s="98"/>
      <c r="D125" s="99"/>
      <c r="E125" s="99"/>
      <c r="F125" s="100"/>
    </row>
    <row r="126" spans="1:6" s="106" customFormat="1" ht="62" customHeight="1" x14ac:dyDescent="0.15">
      <c r="A126" s="96"/>
      <c r="B126" s="97"/>
      <c r="C126" s="98"/>
      <c r="D126" s="99"/>
      <c r="E126" s="99"/>
      <c r="F126" s="100"/>
    </row>
    <row r="127" spans="1:6" s="106" customFormat="1" ht="62" customHeight="1" x14ac:dyDescent="0.15">
      <c r="A127" s="96"/>
      <c r="B127" s="97"/>
      <c r="C127" s="98"/>
      <c r="D127" s="99"/>
      <c r="E127" s="99"/>
      <c r="F127" s="100"/>
    </row>
    <row r="128" spans="1:6" s="106" customFormat="1" ht="62" customHeight="1" x14ac:dyDescent="0.15">
      <c r="A128" s="96"/>
      <c r="B128" s="97"/>
      <c r="C128" s="98"/>
      <c r="D128" s="99"/>
      <c r="E128" s="99"/>
      <c r="F128" s="100"/>
    </row>
    <row r="129" spans="1:6" s="106" customFormat="1" ht="62" customHeight="1" x14ac:dyDescent="0.15">
      <c r="A129" s="96"/>
      <c r="B129" s="97"/>
      <c r="C129" s="98"/>
      <c r="D129" s="99"/>
      <c r="E129" s="99"/>
      <c r="F129" s="100"/>
    </row>
    <row r="130" spans="1:6" s="106" customFormat="1" ht="62" customHeight="1" x14ac:dyDescent="0.15">
      <c r="A130" s="96"/>
      <c r="B130" s="97"/>
      <c r="C130" s="98"/>
      <c r="D130" s="99"/>
      <c r="E130" s="99"/>
      <c r="F130" s="100"/>
    </row>
    <row r="131" spans="1:6" s="106" customFormat="1" ht="62" customHeight="1" x14ac:dyDescent="0.15">
      <c r="A131" s="96"/>
      <c r="B131" s="97"/>
      <c r="C131" s="98"/>
      <c r="D131" s="99"/>
      <c r="E131" s="99"/>
      <c r="F131" s="100"/>
    </row>
    <row r="132" spans="1:6" s="106" customFormat="1" ht="62" customHeight="1" x14ac:dyDescent="0.15">
      <c r="A132" s="96"/>
      <c r="B132" s="97"/>
      <c r="C132" s="98"/>
      <c r="D132" s="99"/>
      <c r="E132" s="99"/>
      <c r="F132" s="100"/>
    </row>
    <row r="133" spans="1:6" s="106" customFormat="1" ht="62" customHeight="1" x14ac:dyDescent="0.15">
      <c r="A133" s="96"/>
      <c r="B133" s="97"/>
      <c r="C133" s="98"/>
      <c r="D133" s="99"/>
      <c r="E133" s="99"/>
      <c r="F133" s="100"/>
    </row>
    <row r="134" spans="1:6" s="106" customFormat="1" ht="62" customHeight="1" x14ac:dyDescent="0.15">
      <c r="A134" s="102"/>
      <c r="B134" s="103"/>
      <c r="C134" s="98"/>
      <c r="D134" s="99"/>
      <c r="E134" s="99"/>
      <c r="F134" s="100"/>
    </row>
    <row r="135" spans="1:6" s="106" customFormat="1" ht="62" customHeight="1" x14ac:dyDescent="0.15">
      <c r="A135" s="102"/>
      <c r="B135" s="103"/>
      <c r="C135" s="98"/>
      <c r="D135" s="99"/>
      <c r="E135" s="99"/>
      <c r="F135" s="100"/>
    </row>
    <row r="136" spans="1:6" s="106" customFormat="1" ht="62" customHeight="1" x14ac:dyDescent="0.15">
      <c r="A136" s="102"/>
      <c r="B136" s="103"/>
      <c r="C136" s="98"/>
      <c r="D136" s="104"/>
      <c r="E136" s="104"/>
      <c r="F136" s="100"/>
    </row>
    <row r="137" spans="1:6" s="106" customFormat="1" ht="62" customHeight="1" x14ac:dyDescent="0.15">
      <c r="A137" s="102"/>
      <c r="B137" s="103"/>
      <c r="C137" s="98"/>
      <c r="D137" s="104"/>
      <c r="E137" s="104"/>
      <c r="F137" s="100"/>
    </row>
    <row r="138" spans="1:6" s="106" customFormat="1" ht="62" customHeight="1" x14ac:dyDescent="0.15">
      <c r="A138" s="102"/>
      <c r="B138" s="103"/>
      <c r="C138" s="98"/>
      <c r="D138" s="104"/>
      <c r="E138" s="104"/>
      <c r="F138" s="100"/>
    </row>
    <row r="139" spans="1:6" s="106" customFormat="1" ht="62" customHeight="1" x14ac:dyDescent="0.15">
      <c r="A139" s="102"/>
      <c r="B139" s="103"/>
      <c r="C139" s="98"/>
      <c r="D139" s="104"/>
      <c r="E139" s="104"/>
      <c r="F139" s="100"/>
    </row>
    <row r="140" spans="1:6" s="106" customFormat="1" ht="62" customHeight="1" x14ac:dyDescent="0.15">
      <c r="A140" s="102"/>
      <c r="B140" s="103"/>
      <c r="C140" s="98"/>
      <c r="D140" s="104"/>
      <c r="E140" s="104"/>
      <c r="F140" s="100"/>
    </row>
    <row r="141" spans="1:6" s="106" customFormat="1" ht="62" customHeight="1" x14ac:dyDescent="0.15">
      <c r="A141" s="102"/>
      <c r="B141" s="103"/>
      <c r="C141" s="98"/>
      <c r="D141" s="104"/>
      <c r="E141" s="104"/>
      <c r="F141" s="100"/>
    </row>
    <row r="142" spans="1:6" s="106" customFormat="1" ht="62" customHeight="1" x14ac:dyDescent="0.15">
      <c r="A142" s="102"/>
      <c r="B142" s="103"/>
      <c r="C142" s="105"/>
      <c r="D142" s="104"/>
      <c r="E142" s="104"/>
      <c r="F142" s="100"/>
    </row>
    <row r="143" spans="1:6" s="106" customFormat="1" ht="62" customHeight="1" x14ac:dyDescent="0.15">
      <c r="A143" s="102"/>
      <c r="B143" s="103"/>
      <c r="C143" s="98"/>
      <c r="D143" s="104"/>
      <c r="E143" s="104"/>
      <c r="F143" s="100"/>
    </row>
    <row r="144" spans="1:6" s="106" customFormat="1" ht="62" customHeight="1" x14ac:dyDescent="0.15">
      <c r="A144" s="102"/>
      <c r="B144" s="103"/>
      <c r="C144" s="105"/>
      <c r="D144" s="104"/>
      <c r="E144" s="104"/>
      <c r="F144" s="100"/>
    </row>
    <row r="145" spans="1:6" s="106" customFormat="1" ht="62" customHeight="1" x14ac:dyDescent="0.15">
      <c r="A145" s="102"/>
      <c r="B145" s="103"/>
      <c r="C145" s="105"/>
      <c r="D145" s="104"/>
      <c r="E145" s="104"/>
      <c r="F145" s="100"/>
    </row>
    <row r="146" spans="1:6" s="106" customFormat="1" ht="62" customHeight="1" x14ac:dyDescent="0.15">
      <c r="A146" s="102"/>
      <c r="B146" s="103"/>
      <c r="C146" s="98"/>
      <c r="D146" s="104"/>
      <c r="E146" s="104"/>
      <c r="F146" s="100"/>
    </row>
    <row r="147" spans="1:6" s="106" customFormat="1" ht="62" customHeight="1" x14ac:dyDescent="0.15">
      <c r="A147" s="102"/>
      <c r="B147" s="103"/>
      <c r="C147" s="98"/>
      <c r="D147" s="104"/>
      <c r="E147" s="104"/>
      <c r="F147" s="100"/>
    </row>
    <row r="148" spans="1:6" s="106" customFormat="1" ht="62" customHeight="1" x14ac:dyDescent="0.15">
      <c r="A148" s="102"/>
      <c r="B148" s="103"/>
      <c r="C148" s="107"/>
      <c r="D148" s="104"/>
      <c r="E148" s="104"/>
      <c r="F148" s="100"/>
    </row>
    <row r="149" spans="1:6" s="106" customFormat="1" ht="62" customHeight="1" x14ac:dyDescent="0.15">
      <c r="A149" s="102"/>
      <c r="B149" s="103"/>
      <c r="C149" s="98"/>
      <c r="D149" s="104"/>
      <c r="E149" s="104"/>
      <c r="F149" s="100"/>
    </row>
    <row r="150" spans="1:6" s="106" customFormat="1" ht="62" customHeight="1" x14ac:dyDescent="0.15">
      <c r="A150" s="102"/>
      <c r="B150" s="103"/>
      <c r="C150" s="107"/>
      <c r="D150" s="104"/>
      <c r="E150" s="104"/>
      <c r="F150" s="100"/>
    </row>
    <row r="151" spans="1:6" s="106" customFormat="1" ht="62" customHeight="1" x14ac:dyDescent="0.15">
      <c r="A151" s="102"/>
      <c r="B151" s="103"/>
      <c r="C151" s="105"/>
      <c r="D151" s="104"/>
      <c r="E151" s="104"/>
      <c r="F151" s="100"/>
    </row>
    <row r="152" spans="1:6" s="106" customFormat="1" ht="62" customHeight="1" x14ac:dyDescent="0.15">
      <c r="A152" s="102"/>
      <c r="B152" s="103"/>
      <c r="C152" s="105"/>
      <c r="D152" s="104"/>
      <c r="E152" s="104"/>
      <c r="F152" s="100"/>
    </row>
    <row r="153" spans="1:6" s="106" customFormat="1" ht="62" customHeight="1" x14ac:dyDescent="0.15">
      <c r="A153" s="102"/>
      <c r="B153" s="103"/>
      <c r="C153" s="105"/>
      <c r="D153" s="104"/>
      <c r="E153" s="104"/>
      <c r="F153" s="100"/>
    </row>
    <row r="154" spans="1:6" s="106" customFormat="1" ht="62" customHeight="1" x14ac:dyDescent="0.15">
      <c r="A154" s="102"/>
      <c r="B154" s="103"/>
      <c r="C154" s="105"/>
      <c r="D154" s="104"/>
      <c r="E154" s="104"/>
      <c r="F154" s="100"/>
    </row>
    <row r="155" spans="1:6" s="106" customFormat="1" ht="62" customHeight="1" x14ac:dyDescent="0.15">
      <c r="A155" s="102"/>
      <c r="B155" s="103"/>
      <c r="C155" s="105"/>
      <c r="D155" s="104"/>
      <c r="E155" s="104"/>
      <c r="F155" s="100"/>
    </row>
    <row r="156" spans="1:6" s="106" customFormat="1" ht="62" customHeight="1" x14ac:dyDescent="0.15">
      <c r="A156" s="102"/>
      <c r="B156" s="103"/>
      <c r="C156" s="98"/>
      <c r="D156" s="104"/>
      <c r="E156" s="104"/>
      <c r="F156" s="100"/>
    </row>
    <row r="157" spans="1:6" s="106" customFormat="1" ht="62" customHeight="1" x14ac:dyDescent="0.15">
      <c r="A157" s="102"/>
      <c r="B157" s="103"/>
      <c r="C157" s="98"/>
      <c r="D157" s="104"/>
      <c r="E157" s="104"/>
      <c r="F157" s="100"/>
    </row>
    <row r="158" spans="1:6" s="106" customFormat="1" ht="62" customHeight="1" x14ac:dyDescent="0.15">
      <c r="A158" s="102"/>
      <c r="B158" s="103"/>
      <c r="C158" s="108"/>
      <c r="D158" s="104"/>
      <c r="E158" s="104"/>
      <c r="F158" s="100"/>
    </row>
    <row r="159" spans="1:6" s="106" customFormat="1" ht="62" customHeight="1" x14ac:dyDescent="0.15">
      <c r="A159" s="102"/>
      <c r="B159" s="103"/>
      <c r="C159" s="107"/>
      <c r="D159" s="104"/>
      <c r="E159" s="104"/>
      <c r="F159" s="100"/>
    </row>
    <row r="160" spans="1:6" s="106" customFormat="1" ht="62" customHeight="1" x14ac:dyDescent="0.15">
      <c r="A160" s="102"/>
      <c r="B160" s="103"/>
      <c r="C160" s="108"/>
      <c r="D160" s="104"/>
      <c r="E160" s="104"/>
      <c r="F160" s="100"/>
    </row>
    <row r="161" spans="1:6" s="106" customFormat="1" ht="62" customHeight="1" x14ac:dyDescent="0.15">
      <c r="A161" s="102"/>
      <c r="B161" s="103"/>
      <c r="C161" s="108"/>
      <c r="D161" s="104"/>
      <c r="E161" s="104"/>
      <c r="F161" s="100"/>
    </row>
    <row r="162" spans="1:6" s="106" customFormat="1" ht="62" customHeight="1" x14ac:dyDescent="0.15">
      <c r="A162" s="102"/>
      <c r="B162" s="103"/>
      <c r="C162" s="108"/>
      <c r="D162" s="104"/>
      <c r="E162" s="104"/>
      <c r="F162" s="100"/>
    </row>
    <row r="163" spans="1:6" s="106" customFormat="1" ht="62" customHeight="1" x14ac:dyDescent="0.15">
      <c r="A163" s="102"/>
      <c r="B163" s="103"/>
      <c r="C163" s="108"/>
      <c r="D163" s="104"/>
      <c r="E163" s="104"/>
      <c r="F163" s="100"/>
    </row>
    <row r="164" spans="1:6" s="106" customFormat="1" ht="62" customHeight="1" x14ac:dyDescent="0.15">
      <c r="A164" s="102"/>
      <c r="B164" s="103"/>
      <c r="C164" s="108"/>
      <c r="D164" s="104"/>
      <c r="E164" s="104"/>
      <c r="F164" s="100"/>
    </row>
    <row r="165" spans="1:6" s="106" customFormat="1" ht="62" customHeight="1" x14ac:dyDescent="0.15">
      <c r="A165" s="102"/>
      <c r="B165" s="103"/>
      <c r="C165" s="108"/>
      <c r="D165" s="104"/>
      <c r="E165" s="104"/>
      <c r="F165" s="100"/>
    </row>
    <row r="166" spans="1:6" s="106" customFormat="1" ht="62" customHeight="1" x14ac:dyDescent="0.15">
      <c r="A166" s="102"/>
      <c r="B166" s="103"/>
      <c r="C166" s="108"/>
      <c r="D166" s="104"/>
      <c r="E166" s="104"/>
      <c r="F166" s="100"/>
    </row>
    <row r="167" spans="1:6" s="106" customFormat="1" ht="62" customHeight="1" x14ac:dyDescent="0.15">
      <c r="A167" s="102"/>
      <c r="B167" s="103"/>
      <c r="C167" s="108"/>
      <c r="D167" s="104"/>
      <c r="E167" s="104"/>
      <c r="F167" s="100"/>
    </row>
    <row r="168" spans="1:6" s="106" customFormat="1" ht="62" customHeight="1" x14ac:dyDescent="0.15">
      <c r="A168" s="102"/>
      <c r="B168" s="103"/>
      <c r="C168" s="108"/>
      <c r="D168" s="104"/>
      <c r="E168" s="104"/>
      <c r="F168" s="100"/>
    </row>
    <row r="169" spans="1:6" s="106" customFormat="1" ht="62" customHeight="1" x14ac:dyDescent="0.15">
      <c r="A169" s="102"/>
      <c r="B169" s="103"/>
      <c r="C169" s="108"/>
      <c r="D169" s="104"/>
      <c r="E169" s="104"/>
      <c r="F169" s="100"/>
    </row>
    <row r="170" spans="1:6" s="106" customFormat="1" ht="62" customHeight="1" x14ac:dyDescent="0.15">
      <c r="A170" s="102"/>
      <c r="B170" s="103"/>
      <c r="C170" s="108"/>
      <c r="D170" s="104"/>
      <c r="E170" s="104"/>
      <c r="F170" s="100"/>
    </row>
    <row r="171" spans="1:6" s="106" customFormat="1" ht="62" customHeight="1" x14ac:dyDescent="0.15">
      <c r="A171" s="102"/>
      <c r="B171" s="103"/>
      <c r="C171" s="108"/>
      <c r="D171" s="104"/>
      <c r="E171" s="104"/>
      <c r="F171" s="100"/>
    </row>
    <row r="172" spans="1:6" s="106" customFormat="1" ht="62" customHeight="1" x14ac:dyDescent="0.15">
      <c r="A172" s="102"/>
      <c r="B172" s="103"/>
      <c r="C172" s="108"/>
      <c r="D172" s="104"/>
      <c r="E172" s="104"/>
      <c r="F172" s="100"/>
    </row>
    <row r="173" spans="1:6" s="106" customFormat="1" ht="62" customHeight="1" x14ac:dyDescent="0.15">
      <c r="A173" s="102"/>
      <c r="B173" s="103"/>
      <c r="C173" s="108"/>
      <c r="D173" s="104"/>
      <c r="E173" s="104"/>
      <c r="F173" s="100"/>
    </row>
    <row r="174" spans="1:6" s="106" customFormat="1" ht="62" customHeight="1" x14ac:dyDescent="0.15">
      <c r="A174" s="102"/>
      <c r="B174" s="103"/>
      <c r="C174" s="108"/>
      <c r="D174" s="104"/>
      <c r="E174" s="104"/>
      <c r="F174" s="100"/>
    </row>
    <row r="175" spans="1:6" s="106" customFormat="1" ht="62" customHeight="1" x14ac:dyDescent="0.15">
      <c r="A175" s="102"/>
      <c r="B175" s="103"/>
      <c r="C175" s="108"/>
      <c r="D175" s="104"/>
      <c r="E175" s="104"/>
      <c r="F175" s="100"/>
    </row>
    <row r="176" spans="1:6" s="106" customFormat="1" ht="62" customHeight="1" x14ac:dyDescent="0.15">
      <c r="A176" s="102"/>
      <c r="B176" s="103"/>
      <c r="C176" s="108"/>
      <c r="D176" s="104"/>
      <c r="E176" s="104"/>
      <c r="F176" s="100"/>
    </row>
    <row r="177" spans="1:6" s="106" customFormat="1" ht="62" customHeight="1" x14ac:dyDescent="0.15">
      <c r="A177" s="102"/>
      <c r="B177" s="103"/>
      <c r="C177" s="108"/>
      <c r="D177" s="104"/>
      <c r="E177" s="104"/>
      <c r="F177" s="100"/>
    </row>
    <row r="178" spans="1:6" s="106" customFormat="1" ht="62" customHeight="1" x14ac:dyDescent="0.15">
      <c r="A178" s="102"/>
      <c r="B178" s="103"/>
      <c r="C178" s="108"/>
      <c r="D178" s="104"/>
      <c r="E178" s="104"/>
      <c r="F178" s="100"/>
    </row>
    <row r="179" spans="1:6" s="106" customFormat="1" ht="62" customHeight="1" x14ac:dyDescent="0.15">
      <c r="A179" s="102"/>
      <c r="B179" s="103"/>
      <c r="C179" s="108"/>
      <c r="D179" s="104"/>
      <c r="E179" s="104"/>
      <c r="F179" s="100"/>
    </row>
    <row r="180" spans="1:6" s="106" customFormat="1" ht="62" customHeight="1" x14ac:dyDescent="0.15">
      <c r="A180" s="102"/>
      <c r="B180" s="103"/>
      <c r="C180" s="108"/>
      <c r="D180" s="104"/>
      <c r="E180" s="104"/>
      <c r="F180" s="100"/>
    </row>
    <row r="181" spans="1:6" s="106" customFormat="1" ht="62" customHeight="1" x14ac:dyDescent="0.15">
      <c r="A181" s="102"/>
      <c r="B181" s="103"/>
      <c r="C181" s="108"/>
      <c r="D181" s="104"/>
      <c r="E181" s="104"/>
      <c r="F181" s="100"/>
    </row>
    <row r="182" spans="1:6" s="106" customFormat="1" ht="62" customHeight="1" x14ac:dyDescent="0.15">
      <c r="A182" s="102"/>
      <c r="B182" s="103"/>
      <c r="C182" s="108"/>
      <c r="D182" s="104"/>
      <c r="E182" s="104"/>
      <c r="F182" s="100"/>
    </row>
    <row r="183" spans="1:6" s="106" customFormat="1" ht="62" customHeight="1" x14ac:dyDescent="0.15">
      <c r="A183" s="102"/>
      <c r="B183" s="103"/>
      <c r="C183" s="108"/>
      <c r="D183" s="104"/>
      <c r="E183" s="104"/>
      <c r="F183" s="100"/>
    </row>
    <row r="184" spans="1:6" ht="62" customHeight="1" x14ac:dyDescent="0.2">
      <c r="D184" s="19"/>
      <c r="E184" s="19"/>
    </row>
    <row r="185" spans="1:6" ht="62" customHeight="1" x14ac:dyDescent="0.2">
      <c r="D185" s="19"/>
      <c r="E185" s="19"/>
    </row>
    <row r="186" spans="1:6" x14ac:dyDescent="0.2">
      <c r="D186" s="19"/>
      <c r="E186" s="19"/>
    </row>
    <row r="187" spans="1:6" x14ac:dyDescent="0.2">
      <c r="D187" s="19"/>
      <c r="E187" s="19"/>
    </row>
    <row r="188" spans="1:6" x14ac:dyDescent="0.2">
      <c r="D188" s="19"/>
      <c r="E188" s="19"/>
    </row>
    <row r="189" spans="1:6" x14ac:dyDescent="0.2">
      <c r="D189" s="19"/>
      <c r="E189" s="19"/>
    </row>
    <row r="190" spans="1:6" x14ac:dyDescent="0.2">
      <c r="D190" s="19"/>
      <c r="E190" s="19"/>
    </row>
    <row r="191" spans="1:6" x14ac:dyDescent="0.2">
      <c r="D191" s="19"/>
      <c r="E191" s="19"/>
    </row>
  </sheetData>
  <pageMargins left="0.25" right="0.25" top="0.5" bottom="0.5" header="0.3" footer="0.3"/>
  <pageSetup paperSize="9" scale="23" orientation="portrait"/>
  <headerFooter>
    <oddHeader>&amp;L&amp;G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3</vt:i4>
      </vt:variant>
    </vt:vector>
  </HeadingPairs>
  <TitlesOfParts>
    <vt:vector size="25" baseType="lpstr">
      <vt:lpstr>REPORT 2</vt:lpstr>
      <vt:lpstr>REPORT</vt:lpstr>
      <vt:lpstr>RUH - Al Malaz</vt:lpstr>
      <vt:lpstr>RUH - Al Sahafa</vt:lpstr>
      <vt:lpstr>RUH - Al Aarid</vt:lpstr>
      <vt:lpstr>RUH - Al Fayha</vt:lpstr>
      <vt:lpstr>RUH - Al Uraija</vt:lpstr>
      <vt:lpstr>RUH - Badr</vt:lpstr>
      <vt:lpstr>RUH - Al Badia</vt:lpstr>
      <vt:lpstr>JED - Al Basateen</vt:lpstr>
      <vt:lpstr>JED - Al Faisaliyah</vt:lpstr>
      <vt:lpstr>JED - Al Naeem</vt:lpstr>
      <vt:lpstr>JED - Obhor</vt:lpstr>
      <vt:lpstr>DMM - Al Faisaliyah</vt:lpstr>
      <vt:lpstr>DMM - Al Jalawiah</vt:lpstr>
      <vt:lpstr>DMM - Al Nada</vt:lpstr>
      <vt:lpstr>ALQ - Al Rayyan</vt:lpstr>
      <vt:lpstr>ALQ - Buraidah</vt:lpstr>
      <vt:lpstr>ALQ - Unaizah</vt:lpstr>
      <vt:lpstr>Al Ahsaa</vt:lpstr>
      <vt:lpstr>AlUla</vt:lpstr>
      <vt:lpstr>Tabuk</vt:lpstr>
      <vt:lpstr>REPORT!Print_Area</vt:lpstr>
      <vt:lpstr>'REPORT 2'!Print_Area</vt:lpstr>
      <vt:lpstr>'REPORT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AZZI</dc:creator>
  <cp:lastModifiedBy>Andy Ayas</cp:lastModifiedBy>
  <cp:lastPrinted>2025-11-21T09:46:46Z</cp:lastPrinted>
  <dcterms:created xsi:type="dcterms:W3CDTF">2025-06-09T04:45:46Z</dcterms:created>
  <dcterms:modified xsi:type="dcterms:W3CDTF">2026-07-30T19:18:37Z</dcterms:modified>
</cp:coreProperties>
</file>