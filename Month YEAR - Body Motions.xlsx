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414C0AF1-7EE3-BD45-AC8A-E8B524C6DAB0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10" r:id="rId1"/>
    <sheet name="REPORT" sheetId="9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ALQ - Buraidah" sheetId="16" r:id="rId15"/>
    <sheet name="ALQ - Unaizah" sheetId="17" r:id="rId16"/>
    <sheet name="Al Ahsaa" sheetId="19" r:id="rId17"/>
    <sheet name="AlUla" sheetId="21" r:id="rId18"/>
    <sheet name="Tabuk" sheetId="20" r:id="rId19"/>
  </sheets>
  <definedNames>
    <definedName name="_xlnm._FilterDatabase" localSheetId="1" hidden="1">REPORT!$B$1:$B$323</definedName>
    <definedName name="_xlnm.Print_Area" localSheetId="1">REPORT!$A$1:$D$177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20" i="9"/>
  <c r="D20" i="9" a="1"/>
  <c r="D81" i="9" a="1"/>
  <c r="D115" i="9" a="1"/>
  <c r="D62" i="9" a="1"/>
  <c r="D60" i="9" a="1"/>
  <c r="D100" i="9" a="1"/>
  <c r="C110" i="9"/>
  <c r="D96" i="9" a="1"/>
  <c r="C96" i="9"/>
  <c r="D90" i="9" a="1"/>
  <c r="D30" i="9" a="1"/>
  <c r="C82" i="9"/>
  <c r="D15" i="9" a="1"/>
  <c r="D105" i="9" a="1"/>
  <c r="D7" i="9" a="1"/>
  <c r="C83" i="9"/>
  <c r="C32" i="9"/>
  <c r="D86" i="9" a="1"/>
  <c r="C114" i="9"/>
  <c r="D42" i="9" a="1"/>
  <c r="C128" i="9"/>
  <c r="C38" i="9"/>
  <c r="C106" i="9"/>
  <c r="C127" i="9"/>
  <c r="C130" i="9"/>
  <c r="D120" i="9" a="1"/>
  <c r="D87" i="9" a="1"/>
  <c r="C42" i="9"/>
  <c r="C76" i="9"/>
  <c r="C49" i="9"/>
  <c r="C57" i="9"/>
  <c r="C37" i="9"/>
  <c r="D39" i="9" a="1"/>
  <c r="C66" i="9"/>
  <c r="D138" i="9" a="1"/>
  <c r="C73" i="9"/>
  <c r="D49" i="9" a="1"/>
  <c r="D92" i="9" a="1"/>
  <c r="D114" i="9" a="1"/>
  <c r="C136" i="9"/>
  <c r="C35" i="9"/>
  <c r="C30" i="9"/>
  <c r="C55" i="9"/>
  <c r="D125" i="9" a="1"/>
  <c r="C31" i="9"/>
  <c r="C15" i="9"/>
  <c r="C63" i="9"/>
  <c r="D61" i="9" a="1"/>
  <c r="C126" i="9"/>
  <c r="D117" i="9" a="1"/>
  <c r="C21" i="9"/>
  <c r="C108" i="9"/>
  <c r="D89" i="9" a="1"/>
  <c r="C28" i="9"/>
  <c r="D118" i="9" a="1"/>
  <c r="C19" i="9"/>
  <c r="D77" i="9" a="1"/>
  <c r="D108" i="9" a="1"/>
  <c r="D27" i="9" a="1"/>
  <c r="D112" i="9" a="1"/>
  <c r="D119" i="9" a="1"/>
  <c r="D134" i="9" a="1"/>
  <c r="C115" i="9"/>
  <c r="D95" i="9" a="1"/>
  <c r="D11" i="9" a="1"/>
  <c r="D52" i="9" a="1"/>
  <c r="D66" i="9" a="1"/>
  <c r="C47" i="9"/>
  <c r="D56" i="9" a="1"/>
  <c r="C111" i="9"/>
  <c r="D43" i="9" a="1"/>
  <c r="C137" i="9"/>
  <c r="D28" i="9" a="1"/>
  <c r="C139" i="9"/>
  <c r="C10" i="9"/>
  <c r="C34" i="9"/>
  <c r="D32" i="9" a="1"/>
  <c r="C17" i="9"/>
  <c r="D121" i="9" a="1"/>
  <c r="C84" i="9"/>
  <c r="D80" i="9" a="1"/>
  <c r="D23" i="9" a="1"/>
  <c r="D58" i="9" a="1"/>
  <c r="C116" i="9"/>
  <c r="C78" i="9"/>
  <c r="C131" i="9"/>
  <c r="C119" i="9"/>
  <c r="C51" i="9"/>
  <c r="C89" i="9"/>
  <c r="C117" i="9"/>
  <c r="D8" i="9" a="1"/>
  <c r="C81" i="9"/>
  <c r="C123" i="9"/>
  <c r="D102" i="9" a="1"/>
  <c r="C27" i="9"/>
  <c r="D70" i="9" a="1"/>
  <c r="D104" i="9" a="1"/>
  <c r="D71" i="9" a="1"/>
  <c r="C68" i="9"/>
  <c r="C8" i="9"/>
  <c r="C105" i="9"/>
  <c r="D14" i="9" a="1"/>
  <c r="C100" i="9"/>
  <c r="D12" i="9" a="1"/>
  <c r="C75" i="9"/>
  <c r="C79" i="9"/>
  <c r="D128" i="9" a="1"/>
  <c r="C134" i="9"/>
  <c r="D29" i="9" a="1"/>
  <c r="D33" i="9" a="1"/>
  <c r="C48" i="9"/>
  <c r="D76" i="9" a="1"/>
  <c r="D98" i="9" a="1"/>
  <c r="D130" i="9" a="1"/>
  <c r="D46" i="9" a="1"/>
  <c r="C40" i="9"/>
  <c r="C112" i="9"/>
  <c r="C62" i="9"/>
  <c r="C25" i="9"/>
  <c r="C90" i="9"/>
  <c r="C129" i="9"/>
  <c r="C109" i="9"/>
  <c r="D101" i="9" a="1"/>
  <c r="C56" i="9"/>
  <c r="C74" i="9"/>
  <c r="C135" i="9"/>
  <c r="D72" i="9" a="1"/>
  <c r="D31" i="9" a="1"/>
  <c r="D136" i="9" a="1"/>
  <c r="C18" i="9"/>
  <c r="D84" i="9" a="1"/>
  <c r="C87" i="9"/>
  <c r="C120" i="9"/>
  <c r="D74" i="9" a="1"/>
  <c r="D113" i="9" a="1"/>
  <c r="D133" i="9" a="1"/>
  <c r="C43" i="9"/>
  <c r="C71" i="9"/>
  <c r="D36" i="9" a="1"/>
  <c r="D59" i="9" a="1"/>
  <c r="D57" i="9" a="1"/>
  <c r="D13" i="9" a="1"/>
  <c r="D73" i="9" a="1"/>
  <c r="D48" i="9" a="1"/>
  <c r="C138" i="9"/>
  <c r="D99" i="9" a="1"/>
  <c r="D37" i="9" a="1"/>
  <c r="D55" i="9" a="1"/>
  <c r="C113" i="9"/>
  <c r="D124" i="9" a="1"/>
  <c r="C94" i="9"/>
  <c r="C44" i="9"/>
  <c r="D18" i="9" a="1"/>
  <c r="D109" i="9" a="1"/>
  <c r="C133" i="9"/>
  <c r="D123" i="9" a="1"/>
  <c r="D24" i="9" a="1"/>
  <c r="C85" i="9"/>
  <c r="D88" i="9" a="1"/>
  <c r="D25" i="9" a="1"/>
  <c r="C9" i="9"/>
  <c r="C67" i="9"/>
  <c r="D63" i="9" a="1"/>
  <c r="D10" i="9" a="1"/>
  <c r="C86" i="9"/>
  <c r="C39" i="9"/>
  <c r="D54" i="9" a="1"/>
  <c r="D68" i="9" a="1"/>
  <c r="C36" i="9"/>
  <c r="C59" i="9"/>
  <c r="D26" i="9" a="1"/>
  <c r="C13" i="9"/>
  <c r="D19" i="9" a="1"/>
  <c r="C41" i="9"/>
  <c r="C12" i="9"/>
  <c r="D41" i="9" a="1"/>
  <c r="D35" i="9" a="1"/>
  <c r="C24" i="9"/>
  <c r="C26" i="9"/>
  <c r="D65" i="9" a="1"/>
  <c r="D122" i="9" a="1"/>
  <c r="C50" i="9"/>
  <c r="D132" i="9" a="1"/>
  <c r="C22" i="9"/>
  <c r="C29" i="9"/>
  <c r="D9" i="9" a="1"/>
  <c r="C124" i="9"/>
  <c r="C7" i="9"/>
  <c r="D17" i="9" a="1"/>
  <c r="D135" i="9" a="1"/>
  <c r="C70" i="9"/>
  <c r="D22" i="9" a="1"/>
  <c r="C61" i="9"/>
  <c r="C103" i="9"/>
  <c r="D91" i="9" a="1"/>
  <c r="D103" i="9" a="1"/>
  <c r="C132" i="9"/>
  <c r="C23" i="9"/>
  <c r="C64" i="9"/>
  <c r="C33" i="9"/>
  <c r="C53" i="9"/>
  <c r="C60" i="9"/>
  <c r="D53" i="9" a="1"/>
  <c r="D110" i="9" a="1"/>
  <c r="C58" i="9"/>
  <c r="D51" i="9" a="1"/>
  <c r="C99" i="9"/>
  <c r="C14" i="9"/>
  <c r="C93" i="9"/>
  <c r="C98" i="9"/>
  <c r="D45" i="9" a="1"/>
  <c r="C72" i="9"/>
  <c r="C45" i="9"/>
  <c r="D94" i="9" a="1"/>
  <c r="C95" i="9"/>
  <c r="D64" i="9" a="1"/>
  <c r="D97" i="9" a="1"/>
  <c r="C102" i="9"/>
  <c r="C104" i="9"/>
  <c r="D78" i="9" a="1"/>
  <c r="D38" i="9" a="1"/>
  <c r="D93" i="9" a="1"/>
  <c r="D139" i="9" a="1"/>
  <c r="C88" i="9"/>
  <c r="D85" i="9" a="1"/>
  <c r="D106" i="9" a="1"/>
  <c r="C52" i="9"/>
  <c r="D111" i="9" a="1"/>
  <c r="C11" i="9"/>
  <c r="D131" i="9" a="1"/>
  <c r="D47" i="9" a="1"/>
  <c r="C16" i="9"/>
  <c r="D67" i="9" a="1"/>
  <c r="C69" i="9"/>
  <c r="C77" i="9"/>
  <c r="C121" i="9"/>
  <c r="D16" i="9" a="1"/>
  <c r="D50" i="9" a="1"/>
  <c r="C107" i="9"/>
  <c r="D40" i="9" a="1"/>
  <c r="C122" i="9"/>
  <c r="C92" i="9"/>
  <c r="C101" i="9"/>
  <c r="C125" i="9"/>
  <c r="D21" i="9" a="1"/>
  <c r="D83" i="9" a="1"/>
  <c r="C46" i="9"/>
  <c r="D44" i="9" a="1"/>
  <c r="D69" i="9" a="1"/>
  <c r="D107" i="9" a="1"/>
  <c r="D82" i="9" a="1"/>
  <c r="D75" i="9" a="1"/>
  <c r="C65" i="9"/>
  <c r="D129" i="9" a="1"/>
  <c r="C91" i="9"/>
  <c r="C80" i="9"/>
  <c r="D34" i="9" a="1"/>
  <c r="C118" i="9"/>
  <c r="D79" i="9" a="1"/>
  <c r="D137" i="9" a="1"/>
  <c r="D116" i="9" a="1"/>
  <c r="D126" i="9" a="1"/>
  <c r="C54" i="9"/>
  <c r="C97" i="9"/>
  <c r="D127" i="9" a="1"/>
  <c r="D20" i="9" l="1"/>
  <c r="D128" i="9"/>
  <c r="D100" i="9"/>
  <c r="D131" i="9"/>
  <c r="D119" i="9"/>
  <c r="D107" i="9"/>
  <c r="D51" i="9"/>
  <c r="D135" i="9"/>
  <c r="D127" i="9"/>
  <c r="D123" i="9"/>
  <c r="D115" i="9"/>
  <c r="D111" i="9"/>
  <c r="D103" i="9"/>
  <c r="D99" i="9"/>
  <c r="D95" i="9"/>
  <c r="D91" i="9"/>
  <c r="D87" i="9"/>
  <c r="D83" i="9"/>
  <c r="D79" i="9"/>
  <c r="D75" i="9"/>
  <c r="D71" i="9"/>
  <c r="D67" i="9"/>
  <c r="D63" i="9"/>
  <c r="D59" i="9"/>
  <c r="D55" i="9"/>
  <c r="D47" i="9"/>
  <c r="D43" i="9"/>
  <c r="D39" i="9"/>
  <c r="D35" i="9"/>
  <c r="D31" i="9"/>
  <c r="D27" i="9"/>
  <c r="D23" i="9"/>
  <c r="D18" i="9"/>
  <c r="D14" i="9"/>
  <c r="D10" i="9"/>
  <c r="D138" i="9"/>
  <c r="D118" i="9"/>
  <c r="D98" i="9"/>
  <c r="D74" i="9"/>
  <c r="D50" i="9"/>
  <c r="D26" i="9"/>
  <c r="D17" i="9"/>
  <c r="D9" i="9"/>
  <c r="D130" i="9"/>
  <c r="D110" i="9"/>
  <c r="D86" i="9"/>
  <c r="D62" i="9"/>
  <c r="D34" i="9"/>
  <c r="D13" i="9"/>
  <c r="D126" i="9"/>
  <c r="D114" i="9"/>
  <c r="D102" i="9"/>
  <c r="D90" i="9"/>
  <c r="D78" i="9"/>
  <c r="D66" i="9"/>
  <c r="D54" i="9"/>
  <c r="D42" i="9"/>
  <c r="D137" i="9"/>
  <c r="D129" i="9"/>
  <c r="D121" i="9"/>
  <c r="D113" i="9"/>
  <c r="D105" i="9"/>
  <c r="D97" i="9"/>
  <c r="D89" i="9"/>
  <c r="D81" i="9"/>
  <c r="D73" i="9"/>
  <c r="D65" i="9"/>
  <c r="D57" i="9"/>
  <c r="D49" i="9"/>
  <c r="D41" i="9"/>
  <c r="D33" i="9"/>
  <c r="D25" i="9"/>
  <c r="D16" i="9"/>
  <c r="D8" i="9"/>
  <c r="D134" i="9"/>
  <c r="D122" i="9"/>
  <c r="D106" i="9"/>
  <c r="D94" i="9"/>
  <c r="D82" i="9"/>
  <c r="D70" i="9"/>
  <c r="D58" i="9"/>
  <c r="D46" i="9"/>
  <c r="D38" i="9"/>
  <c r="D30" i="9"/>
  <c r="D22" i="9"/>
  <c r="D133" i="9"/>
  <c r="D125" i="9"/>
  <c r="D117" i="9"/>
  <c r="D109" i="9"/>
  <c r="D101" i="9"/>
  <c r="D93" i="9"/>
  <c r="D85" i="9"/>
  <c r="D77" i="9"/>
  <c r="D69" i="9"/>
  <c r="D61" i="9"/>
  <c r="D53" i="9"/>
  <c r="D45" i="9"/>
  <c r="D37" i="9"/>
  <c r="D29" i="9"/>
  <c r="D21" i="9"/>
  <c r="D12" i="9"/>
  <c r="D136" i="9"/>
  <c r="D132" i="9"/>
  <c r="D124" i="9"/>
  <c r="D120" i="9"/>
  <c r="D116" i="9"/>
  <c r="D112" i="9"/>
  <c r="D108" i="9"/>
  <c r="D104" i="9"/>
  <c r="D96" i="9"/>
  <c r="D92" i="9"/>
  <c r="D88" i="9"/>
  <c r="D84" i="9"/>
  <c r="D80" i="9"/>
  <c r="D76" i="9"/>
  <c r="D72" i="9"/>
  <c r="D68" i="9"/>
  <c r="D64" i="9"/>
  <c r="D60" i="9"/>
  <c r="D56" i="9"/>
  <c r="D52" i="9"/>
  <c r="D48" i="9"/>
  <c r="D44" i="9"/>
  <c r="D40" i="9"/>
  <c r="D36" i="9"/>
  <c r="D32" i="9"/>
  <c r="D28" i="9"/>
  <c r="D24" i="9"/>
  <c r="D19" i="9"/>
  <c r="D15" i="9"/>
  <c r="D11" i="9"/>
  <c r="D7" i="9"/>
  <c r="D139" i="9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B22" i="10"/>
  <c r="B8" i="10"/>
  <c r="C17" i="10" a="1"/>
  <c r="C18" i="10" a="1"/>
  <c r="B7" i="10"/>
  <c r="C21" i="10" a="1"/>
  <c r="B17" i="10"/>
  <c r="B13" i="10"/>
  <c r="C11" i="10" a="1"/>
  <c r="B10" i="10"/>
  <c r="B15" i="10"/>
  <c r="C20" i="10" a="1"/>
  <c r="B18" i="10"/>
  <c r="C23" i="10" a="1"/>
  <c r="C15" i="10" a="1"/>
  <c r="C19" i="10" a="1"/>
  <c r="B19" i="10"/>
  <c r="B16" i="10"/>
  <c r="B14" i="10"/>
  <c r="C9" i="10" a="1"/>
  <c r="B9" i="10"/>
  <c r="B23" i="10"/>
  <c r="B11" i="10"/>
  <c r="C13" i="10" a="1"/>
  <c r="C12" i="10" a="1"/>
  <c r="C7" i="10" a="1"/>
  <c r="B21" i="10"/>
  <c r="B20" i="10"/>
  <c r="C16" i="10" a="1"/>
  <c r="C14" i="10" a="1"/>
  <c r="C10" i="10" a="1"/>
  <c r="C22" i="10" a="1"/>
  <c r="C8" i="10" a="1"/>
  <c r="B12" i="10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2" i="10"/>
  <c r="D22" i="10" s="1"/>
  <c r="C13" i="10"/>
  <c r="D13" i="10" s="1"/>
  <c r="C21" i="10"/>
  <c r="D21" i="10" s="1"/>
  <c r="C19" i="10"/>
  <c r="D19" i="10" s="1"/>
  <c r="C11" i="10"/>
  <c r="D11" i="10" s="1"/>
  <c r="C12" i="10"/>
  <c r="D12" i="10" s="1"/>
  <c r="C23" i="10"/>
  <c r="D23" i="10" s="1"/>
  <c r="C20" i="10"/>
  <c r="D20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<sst xmlns="http://schemas.openxmlformats.org/spreadsheetml/2006/main" count="390" uniqueCount="171">
  <si>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</si>
  <si>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</si>
  <si>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</si>
  <si>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</si>
  <si>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</si>
  <si>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</si>
  <si>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</si>
  <si>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</si>
  <si>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</si>
  <si>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</si>
  <si>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</si>
  <si>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</si>
  <si>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</si>
  <si>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</si>
  <si>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</si>
  <si>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</si>
  <si>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</si>
  <si>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</si>
  <si>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</si>
  <si>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</si>
  <si>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</si>
  <si>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</si>
  <si>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</si>
  <si>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</si>
  <si>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</si>
  <si>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</si>
  <si>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</si>
  <si>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</si>
  <si>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</si>
  <si>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</si>
  <si>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</si>
  <si>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</si>
  <si>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</si>
  <si>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</si>
  <si>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</si>
  <si>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</si>
  <si>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</si>
  <si>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</si>
  <si>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</si>
  <si>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</si>
  <si>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</si>
  <si>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</si>
  <si>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</si>
  <si>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</si>
  <si>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</si>
  <si>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</si>
  <si>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</si>
  <si>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</si>
  <si>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</si>
  <si>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</si>
  <si>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</si>
  <si>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</si>
  <si>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</si>
  <si>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</si>
  <si>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</si>
  <si>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</si>
  <si>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</si>
  <si>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</si>
  <si>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</si>
  <si>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</si>
  <si>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</si>
  <si>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</si>
  <si>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</si>
  <si>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</si>
  <si>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</si>
  <si>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</si>
  <si>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</si>
  <si>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</si>
  <si>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</si>
  <si>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</si>
  <si>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</si>
  <si>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</si>
  <si>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</si>
  <si>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</si>
  <si>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</si>
  <si>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</si>
  <si>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</si>
  <si>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</si>
  <si>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</si>
  <si>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</si>
  <si>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</si>
  <si>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</si>
  <si>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</si>
  <si>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</si>
  <si>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</si>
  <si>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</si>
  <si>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</si>
  <si>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</si>
  <si>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</si>
  <si>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</si>
  <si>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</si>
  <si>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</si>
  <si>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</si>
  <si>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</si>
  <si>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</si>
  <si>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</si>
  <si>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</si>
  <si>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</si>
  <si>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</si>
  <si>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</si>
  <si>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</si>
  <si>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</si>
  <si>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</si>
  <si>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</si>
  <si>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</si>
  <si>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</si>
  <si>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</si>
  <si>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</si>
  <si>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</si>
  <si>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</si>
  <si>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</si>
  <si>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</si>
  <si>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</si>
  <si>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</si>
  <si>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</si>
  <si>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</si>
  <si>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</si>
  <si>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</si>
  <si>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</si>
  <si>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</si>
  <si>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</si>
  <si>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</si>
  <si>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</si>
  <si>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</si>
  <si>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</si>
  <si>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</si>
  <si>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</si>
  <si>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</si>
  <si>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</si>
  <si>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</si>
  <si>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</si>
  <si>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</si>
  <si>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</si>
  <si>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</si>
  <si>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</si>
  <si>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</si>
  <si>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</si>
  <si>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</si>
  <si>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</si>
  <si>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</si>
  <si>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</si>
  <si>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</si>
  <si>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</si>
  <si>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</si>
  <si>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</si>
  <si>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</si>
  <si>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</si>
  <si>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</si>
  <si>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</si>
  <si>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</si>
  <si>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</si>
  <si>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</si>
  <si>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</si>
  <si>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</si>
  <si>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</si>
  <si>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</si>
  <si>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</si>
  <si>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</si>
  <si>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</si>
  <si>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</si>
  <si>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</si>
  <si>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</si>
  <si>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</si>
  <si>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</si>
  <si>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</si>
  <si>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</si>
  <si>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</si>
  <si>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</si>
  <si>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</si>
  <si>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</si>
  <si>
    <t>Safaa Karim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</si>
</sst>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18" fillId="0" borderId="7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showGridLines="0" tabSelected="1" zoomScale="50" zoomScaleNormal="50" zoomScaleSheetLayoutView="30" zoomScalePageLayoutView="50" workbookViewId="0">
      <selection activeCell="F56" sqref="F56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SUM(C7:C23)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17" ca="1" si="0">IFERROR(
  COUNTIFS(
    INDIRECT("'" &amp; $A7 &amp; "'!D:D"), "&gt;=" &amp; $B$3-7,
    INDIRECT("'" &amp; $A7 &amp; "'!D:D"), "&lt;=" &amp; $B$3
  ),
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ca="1">IFERROR(
  COUNTIFS(
    INDIRECT("'" &amp; $A10 &amp; "'!D:D"), "&gt;=" &amp; $B$3-7,
    INDIRECT("'" &amp; $A10 &amp; "'!D:D"), "&lt;=" &amp; $B$3
  ),
0)</f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ca="1">IFERROR(
  COUNTIFS(
    INDIRECT("'" &amp; $A11 &amp; "'!D:D"), "&gt;=" &amp; $B$3-7,
    INDIRECT("'" &amp; $A11 &amp; "'!D:D"), "&lt;=" &amp; $B$3
  ),
0)</f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ca="1">IFERROR(
  COUNTIFS(
    INDIRECT("'" &amp; $A12 &amp; "'!D:D"), "&gt;=" &amp; $B$3-7,
    INDIRECT("'" &amp; $A12 &amp; "'!D:D"), "&lt;=" &amp; $B$3
  ),
0)</f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ca="1">IFERROR(
  COUNTIFS(
    INDIRECT("'" &amp; $A13 &amp; "'!D:D"), "&gt;=" &amp; $B$3-7,
    INDIRECT("'" &amp; $A13 &amp; "'!D:D"), "&lt;=" &amp; $B$3
  ),
0)</f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ca="1">IFERROR(
  COUNTIFS(
    INDIRECT("'" &amp; $A14 &amp; "'!D:D"), "&gt;=" &amp; $B$3-7,
    INDIRECT("'" &amp; $A14 &amp; "'!D:D"), "&lt;=" &amp; $B$3
  ),
0)</f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31" t="s">
        <v>57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C17+86</f>
        <v>86</v>
      </c>
      <c r="E17" s="17"/>
    </row>
    <row r="18" spans="1:5" customFormat="1" ht="60" customHeight="1" x14ac:dyDescent="0.2">
      <c r="A18" s="57" t="s">
        <v>88</v>
      </c>
      <c r="B18" s="37">
        <f t="shared" ref="B18:B23" ca="1" si="1">IFERROR(
  COUNTIFS(
    INDIRECT("'" &amp; $A18 &amp; "'!D:D"), "&gt;=" &amp; $B$3-7,
    INDIRECT("'" &amp; $A18 &amp; "'!D:D"), "&lt;=" &amp; $B$3
  ),
0)</f>
        <v>0</v>
      </c>
      <c r="C18" s="36" cm="1">
        <f t="array" aca="1" ref="C18" ca="1">INDIRECT("'" &amp; A18 &amp; "'!D3")</f>
        <v>0</v>
      </c>
      <c r="D18" s="36">
        <f ca="1">C18+38</f>
        <v>38</v>
      </c>
      <c r="E18" s="17"/>
    </row>
    <row r="19" spans="1:5" customFormat="1" ht="60" customHeight="1" x14ac:dyDescent="0.2">
      <c r="A19" s="58" t="s">
        <v>90</v>
      </c>
      <c r="B19" s="37">
        <f t="shared" ca="1" si="1"/>
        <v>0</v>
      </c>
      <c r="C19" s="36" cm="1">
        <f t="array" aca="1" ref="C19" ca="1">INDIRECT("'" &amp; A19 &amp; "'!D3")</f>
        <v>0</v>
      </c>
      <c r="D19" s="36">
        <f ca="1">C19+29</f>
        <v>29</v>
      </c>
      <c r="E19" s="17"/>
    </row>
    <row r="20" spans="1:5" customFormat="1" ht="60" customHeight="1" x14ac:dyDescent="0.2">
      <c r="A20" s="31" t="s">
        <v>89</v>
      </c>
      <c r="B20" s="37">
        <f t="shared" ca="1" si="1"/>
        <v>0</v>
      </c>
      <c r="C20" s="36" cm="1">
        <f t="array" aca="1" ref="C20" ca="1">INDIRECT("'" &amp; A20 &amp; "'!D3")</f>
        <v>0</v>
      </c>
      <c r="D20" s="36">
        <f ca="1">C20+20</f>
        <v>20</v>
      </c>
      <c r="E20" s="17"/>
    </row>
    <row r="21" spans="1:5" customFormat="1" ht="60" customHeight="1" x14ac:dyDescent="0.2">
      <c r="A21" s="57" t="s">
        <v>87</v>
      </c>
      <c r="B21" s="37">
        <f t="shared" ca="1" si="1"/>
        <v>0</v>
      </c>
      <c r="C21" s="36" cm="1">
        <f t="array" aca="1" ref="C21" ca="1">INDIRECT("'" &amp; A21 &amp; "'!D3")</f>
        <v>0</v>
      </c>
      <c r="D21" s="36">
        <f ca="1">C21+48</f>
        <v>48</v>
      </c>
      <c r="E21" s="17"/>
    </row>
    <row r="22" spans="1:5" customFormat="1" ht="60" customHeight="1" x14ac:dyDescent="0.2">
      <c r="A22" s="31" t="s">
        <v>139</v>
      </c>
      <c r="B22" s="37">
        <f t="shared" ca="1" si="1"/>
        <v>0</v>
      </c>
      <c r="C22" s="36" cm="1">
        <f t="array" aca="1" ref="C22" ca="1">INDIRECT("'" &amp; A22 &amp; "'!D3")</f>
        <v>0</v>
      </c>
      <c r="D22" s="36">
        <f ca="1">C22+16</f>
        <v>16</v>
      </c>
      <c r="E22" s="17"/>
    </row>
    <row r="23" spans="1:5" customFormat="1" ht="60" customHeight="1" x14ac:dyDescent="0.2">
      <c r="A23" s="57" t="s">
        <v>140</v>
      </c>
      <c r="B23" s="37">
        <f t="shared" ca="1" si="1"/>
        <v>0</v>
      </c>
      <c r="C23" s="36" cm="1">
        <f t="array" aca="1" ref="C23" ca="1">INDIRECT("'" &amp; A23 &amp; "'!D3")</f>
        <v>0</v>
      </c>
      <c r="D23" s="36">
        <f ca="1">C23+11</f>
        <v>11</v>
      </c>
      <c r="E23" s="17"/>
    </row>
    <row r="24" spans="1:5" customFormat="1" ht="16" x14ac:dyDescent="0.2">
      <c r="A24" s="17"/>
      <c r="B24" s="17"/>
      <c r="C24" s="35"/>
      <c r="D24" s="35"/>
      <c r="E24" s="17"/>
    </row>
    <row r="25" spans="1:5" customFormat="1" ht="16" x14ac:dyDescent="0.2">
      <c r="A25" s="17"/>
      <c r="B25" s="17"/>
      <c r="C25" s="35"/>
      <c r="D25" s="35"/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ht="16" x14ac:dyDescent="0.2">
      <c r="A71" s="17"/>
      <c r="B71" s="17"/>
      <c r="C71" s="35"/>
      <c r="D71" s="35"/>
    </row>
    <row r="72" spans="1:5" ht="16" x14ac:dyDescent="0.2">
      <c r="A72" s="17"/>
      <c r="B72" s="17"/>
      <c r="C72" s="35"/>
      <c r="D72" s="35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22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60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61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166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62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42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19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32" customFormat="1" ht="50" customHeight="1" x14ac:dyDescent="0.2">
      <c r="A14" s="28"/>
      <c r="B14" s="29" t="s">
        <v>10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26"/>
      <c r="B15" s="27" t="s">
        <v>14</v>
      </c>
      <c r="C15" s="26">
        <f ca="1">IFERROR(
   COUNTIF(INDIRECT("'" &amp; LOOKUP("zzz",$A$7:A15) &amp; "'!C:C"), B15),
   0
)</f>
        <v>0</v>
      </c>
      <c r="D15" s="87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57" t="s">
        <v>85</v>
      </c>
      <c r="B16" s="29" t="s">
        <v>64</v>
      </c>
      <c r="C16" s="24">
        <f ca="1">IFERROR(
   COUNTIF(INDIRECT("'" &amp; LOOKUP("zzz",$A$7:A16) &amp; "'!C:C"), B16),
   0
)</f>
        <v>0</v>
      </c>
      <c r="D16" s="88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57"/>
      <c r="B17" s="29" t="s">
        <v>26</v>
      </c>
      <c r="C17" s="24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ht="50" customHeight="1" x14ac:dyDescent="0.2">
      <c r="A18" s="31"/>
      <c r="B18" s="29" t="s">
        <v>20</v>
      </c>
      <c r="C18" s="24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ht="50" customHeight="1" x14ac:dyDescent="0.2">
      <c r="A19" s="31"/>
      <c r="B19" s="29" t="s">
        <v>25</v>
      </c>
      <c r="C19" s="24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ht="50" customHeight="1" x14ac:dyDescent="0.2">
      <c r="A20" s="65"/>
      <c r="B20" s="43" t="s">
        <v>170</v>
      </c>
      <c r="C20" s="24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ht="50" customHeight="1" x14ac:dyDescent="0.2">
      <c r="A21" s="65"/>
      <c r="B21" s="43" t="s">
        <v>65</v>
      </c>
      <c r="C21" s="24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65"/>
      <c r="B22" s="43" t="s">
        <v>155</v>
      </c>
      <c r="C22" s="24">
        <f ca="1">IFERROR(
   COUNTIF(INDIRECT("'" &amp; LOOKUP("zzz",$A$7:A22) &amp; "'!C:C"), B22),
   0
)</f>
        <v>0</v>
      </c>
      <c r="D22" s="73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65"/>
      <c r="B23" s="43" t="s">
        <v>31</v>
      </c>
      <c r="C23" s="24">
        <f ca="1">IFERROR(
   COUNTIF(INDIRECT("'" &amp; LOOKUP("zzz",$A$7:A23) &amp; "'!C:C"), B23),
   0
)</f>
        <v>0</v>
      </c>
      <c r="D23" s="73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65"/>
      <c r="B24" s="43" t="s">
        <v>21</v>
      </c>
      <c r="C24" s="24">
        <f ca="1">IFERROR(
   COUNTIF(INDIRECT("'" &amp; LOOKUP("zzz",$A$7:A24) &amp; "'!C:C"), B24),
   0
)</f>
        <v>0</v>
      </c>
      <c r="D24" s="73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customFormat="1" ht="50" customHeight="1" x14ac:dyDescent="0.2">
      <c r="A25" s="63"/>
      <c r="B25" s="27" t="s">
        <v>58</v>
      </c>
      <c r="C25" s="26">
        <f ca="1">IFERROR(
   COUNTIF(INDIRECT("'" &amp; LOOKUP("zzz",$A$7:A25) &amp; "'!C:C"), B25),
   0
)</f>
        <v>0</v>
      </c>
      <c r="D25" s="87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customFormat="1" ht="50" customHeight="1" x14ac:dyDescent="0.2">
      <c r="A26" s="57" t="s">
        <v>56</v>
      </c>
      <c r="B26" s="29" t="s">
        <v>74</v>
      </c>
      <c r="C26" s="24">
        <f ca="1">IFERROR(
   COUNTIF(INDIRECT("'" &amp; LOOKUP("zzz",$A$7:A26) &amp; "'!C:C"), B26),
   0
)</f>
        <v>0</v>
      </c>
      <c r="D26" s="88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customFormat="1" ht="50" customHeight="1" x14ac:dyDescent="0.2">
      <c r="A27" s="28"/>
      <c r="B27" s="29" t="s">
        <v>59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customFormat="1" ht="50" customHeight="1" x14ac:dyDescent="0.2">
      <c r="A28" s="28"/>
      <c r="B28" s="29" t="s">
        <v>41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customFormat="1" ht="50" customHeight="1" x14ac:dyDescent="0.2">
      <c r="A29" s="28"/>
      <c r="B29" s="29" t="s">
        <v>36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customFormat="1" ht="50" customHeight="1" x14ac:dyDescent="0.2">
      <c r="A30" s="28"/>
      <c r="B30" s="29" t="s">
        <v>81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customFormat="1" ht="50" customHeight="1" x14ac:dyDescent="0.2">
      <c r="A31" s="38"/>
      <c r="B31" s="43" t="s">
        <v>158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customFormat="1" ht="50" customHeight="1" x14ac:dyDescent="0.2">
      <c r="A32" s="38"/>
      <c r="B32" s="43" t="s">
        <v>84</v>
      </c>
      <c r="C32" s="24">
        <f ca="1">IFERROR(
   COUNTIF(INDIRECT("'" &amp; LOOKUP("zzz",$A$7:A32) &amp; "'!C:C"), B32),
   0
)</f>
        <v>0</v>
      </c>
      <c r="D32" s="73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customFormat="1" ht="50" customHeight="1" x14ac:dyDescent="0.2">
      <c r="A33" s="38"/>
      <c r="B33" s="43" t="s">
        <v>43</v>
      </c>
      <c r="C33" s="26">
        <f ca="1">IFERROR(
   COUNTIF(INDIRECT("'" &amp; LOOKUP("zzz",$A$7:A33) &amp; "'!C:C"), B33),
   0
)</f>
        <v>0</v>
      </c>
      <c r="D33" s="87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69" t="s">
        <v>44</v>
      </c>
      <c r="B34" s="46" t="s">
        <v>75</v>
      </c>
      <c r="C34" s="47">
        <f ca="1">IFERROR(
   COUNTIF(INDIRECT("'" &amp; LOOKUP("zzz",$A$7:A34) &amp; "'!C:C"), B34),
   0
)</f>
        <v>0</v>
      </c>
      <c r="D34" s="88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70"/>
      <c r="B35" s="25" t="s">
        <v>76</v>
      </c>
      <c r="C35" s="28">
        <f ca="1">IFERROR(
   COUNTIF(INDIRECT("'" &amp; LOOKUP("zzz",$A$7:A35) &amp; "'!C:C"), B35),
   0
)</f>
        <v>0</v>
      </c>
      <c r="D35" s="73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70"/>
      <c r="B36" s="25" t="s">
        <v>165</v>
      </c>
      <c r="C36" s="28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70"/>
      <c r="B37" s="25" t="s">
        <v>16</v>
      </c>
      <c r="C37" s="28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35</v>
      </c>
      <c r="C38" s="28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77</v>
      </c>
      <c r="C39" s="28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29" t="s">
        <v>37</v>
      </c>
      <c r="C40" s="28">
        <f ca="1">IFERROR(
   COUNTIF(INDIRECT("'" &amp; LOOKUP("zzz",$A$7:A40) &amp; "'!C:C"), B40),
   0
)</f>
        <v>0</v>
      </c>
      <c r="D40" s="73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80"/>
      <c r="B41" s="75" t="s">
        <v>15</v>
      </c>
      <c r="C41" s="26">
        <f ca="1">IFERROR(
   COUNTIF(INDIRECT("'" &amp; LOOKUP("zzz",$A$7:A41) &amp; "'!C:C"), B41),
   0
)</f>
        <v>0</v>
      </c>
      <c r="D41" s="87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84" t="s">
        <v>93</v>
      </c>
      <c r="B42" s="83" t="s">
        <v>138</v>
      </c>
      <c r="C42" s="82">
        <f ca="1">IFERROR(
   COUNTIF(INDIRECT("'" &amp; LOOKUP("zzz",$A$7:A42) &amp; "'!C:C"), B42),
   0
)</f>
        <v>0</v>
      </c>
      <c r="D42" s="88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1"/>
      <c r="B43" s="29" t="s">
        <v>137</v>
      </c>
      <c r="C43" s="28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73"/>
      <c r="B44" s="29" t="s">
        <v>136</v>
      </c>
      <c r="C44" s="28">
        <f ca="1">IFERROR(
   COUNTIF(INDIRECT("'" &amp; LOOKUP("zzz",$A$7:A44) &amp; "'!C:C"), B44),
   0
)</f>
        <v>0</v>
      </c>
      <c r="D44" s="73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s="14" customFormat="1" ht="50" customHeight="1" x14ac:dyDescent="0.2">
      <c r="A45" s="28"/>
      <c r="B45" s="29" t="s">
        <v>63</v>
      </c>
      <c r="C45" s="28">
        <f ca="1">IFERROR(
   COUNTIF(INDIRECT("'" &amp; LOOKUP("zzz",$A$7:A45) &amp; "'!C:C"), B45),
   0
)</f>
        <v>0</v>
      </c>
      <c r="D45" s="73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28"/>
      <c r="B46" s="29" t="s">
        <v>135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28"/>
      <c r="B47" s="29" t="s">
        <v>134</v>
      </c>
      <c r="C47" s="28">
        <f ca="1">IFERROR(
   COUNTIF(INDIRECT("'" &amp; LOOKUP("zzz",$A$7:A47) &amp; "'!C:C"), B47),
   0
)</f>
        <v>0</v>
      </c>
      <c r="D47" s="73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80"/>
      <c r="B48" s="75" t="s">
        <v>133</v>
      </c>
      <c r="C48" s="80">
        <f ca="1">IFERROR(
   COUNTIF(INDIRECT("'" &amp; LOOKUP("zzz",$A$7:A48) &amp; "'!C:C"), B48),
   0
)</f>
        <v>0</v>
      </c>
      <c r="D48" s="87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57" t="s">
        <v>92</v>
      </c>
      <c r="B49" s="29" t="s">
        <v>132</v>
      </c>
      <c r="C49" s="28">
        <f ca="1">IFERROR(
   COUNTIF(INDIRECT("'" &amp; LOOKUP("zzz",$A$7:A49) &amp; "'!C:C"), B49),
   0
)</f>
        <v>0</v>
      </c>
      <c r="D49" s="88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57"/>
      <c r="B50" s="29" t="s">
        <v>131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57"/>
      <c r="B51" s="29" t="s">
        <v>130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1"/>
      <c r="B52" s="29" t="s">
        <v>129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31"/>
      <c r="B53" s="29" t="s">
        <v>128</v>
      </c>
      <c r="C53" s="28">
        <f ca="1">IFERROR(
   COUNTIF(INDIRECT("'" &amp; LOOKUP("zzz",$A$7:A53) &amp; "'!C:C"), B53),
   0
)</f>
        <v>0</v>
      </c>
      <c r="D53" s="73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65"/>
      <c r="B54" s="43" t="s">
        <v>127</v>
      </c>
      <c r="C54" s="28">
        <f ca="1">IFERROR(
   COUNTIF(INDIRECT("'" &amp; LOOKUP("zzz",$A$7:A54) &amp; "'!C:C"), B54),
   0
)</f>
        <v>0</v>
      </c>
      <c r="D54" s="73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81"/>
      <c r="B55" s="75" t="s">
        <v>126</v>
      </c>
      <c r="C55" s="80">
        <f ca="1">IFERROR(
   COUNTIF(INDIRECT("'" &amp; LOOKUP("zzz",$A$7:A55) &amp; "'!C:C"), B55),
   0
)</f>
        <v>0</v>
      </c>
      <c r="D55" s="87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57" t="s">
        <v>91</v>
      </c>
      <c r="B56" s="29" t="s">
        <v>125</v>
      </c>
      <c r="C56" s="28">
        <f ca="1">IFERROR(
   COUNTIF(INDIRECT("'" &amp; LOOKUP("zzz",$A$7:A56) &amp; "'!C:C"), B56),
   0
)</f>
        <v>0</v>
      </c>
      <c r="D56" s="88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62"/>
      <c r="B57" s="29" t="s">
        <v>124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62"/>
      <c r="B58" s="29" t="s">
        <v>123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62"/>
      <c r="B59" s="29" t="s">
        <v>157</v>
      </c>
      <c r="C59" s="28">
        <f ca="1">IFERROR(
   COUNTIF(INDIRECT("'" &amp; LOOKUP("zzz",$A$7:A59) &amp; "'!C:C"), B59),
   0
)</f>
        <v>0</v>
      </c>
      <c r="D59" s="73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29" t="s">
        <v>121</v>
      </c>
      <c r="C60" s="28">
        <f ca="1">IFERROR(
   COUNTIF(INDIRECT("'" &amp; LOOKUP("zzz",$A$7:A60) &amp; "'!C:C"), B60),
   0
)</f>
        <v>0</v>
      </c>
      <c r="D60" s="73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6"/>
      <c r="B61" s="27" t="s">
        <v>120</v>
      </c>
      <c r="C61" s="26">
        <f ca="1">IFERROR(
   COUNTIF(INDIRECT("'" &amp; LOOKUP("zzz",$A$7:A61) &amp; "'!C:C"), B61),
   0
)</f>
        <v>0</v>
      </c>
      <c r="D61" s="87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71" t="s">
        <v>53</v>
      </c>
      <c r="B62" s="46" t="s">
        <v>13</v>
      </c>
      <c r="C62" s="47">
        <f ca="1">IFERROR(
   COUNTIF(INDIRECT("'" &amp; LOOKUP("zzz",$A$7:A62) &amp; "'!C:C"), B62),
   0
)</f>
        <v>0</v>
      </c>
      <c r="D62" s="88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62"/>
      <c r="B63" s="29" t="s">
        <v>66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62"/>
      <c r="B64" s="29" t="s">
        <v>156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15" customFormat="1" ht="50" customHeight="1" x14ac:dyDescent="0.2">
      <c r="A65" s="62"/>
      <c r="B65" s="29" t="s">
        <v>32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15" customFormat="1" ht="50" customHeight="1" x14ac:dyDescent="0.2">
      <c r="A66" s="62"/>
      <c r="B66" s="29" t="s">
        <v>33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15" customFormat="1" ht="50" customHeight="1" x14ac:dyDescent="0.2">
      <c r="A67" s="28"/>
      <c r="B67" s="29" t="s">
        <v>34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15" customFormat="1" ht="50" customHeight="1" x14ac:dyDescent="0.2">
      <c r="A68" s="38"/>
      <c r="B68" s="43" t="s">
        <v>82</v>
      </c>
      <c r="C68" s="28">
        <f ca="1">IFERROR(
   COUNTIF(INDIRECT("'" &amp; LOOKUP("zzz",$A$7:A68) &amp; "'!C:C"), B68),
   0
)</f>
        <v>0</v>
      </c>
      <c r="D68" s="73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15" customFormat="1" ht="50" customHeight="1" x14ac:dyDescent="0.2">
      <c r="A69" s="28"/>
      <c r="B69" s="29" t="s">
        <v>11</v>
      </c>
      <c r="C69" s="28">
        <f ca="1">IFERROR(
   COUNTIF(INDIRECT("'" &amp; LOOKUP("zzz",$A$7:A69) &amp; "'!C:C"), B69),
   0
)</f>
        <v>0</v>
      </c>
      <c r="D69" s="87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15" customFormat="1" ht="50" customHeight="1" x14ac:dyDescent="0.2">
      <c r="A70" s="90"/>
      <c r="B70" s="91" t="s">
        <v>18</v>
      </c>
      <c r="C70" s="90">
        <f ca="1">IFERROR(
   COUNTIF(INDIRECT("'" &amp; LOOKUP("zzz",$A$7:A70) &amp; "'!C:C"), B70),
   0
)</f>
        <v>0</v>
      </c>
      <c r="D70" s="87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customFormat="1" ht="50" customHeight="1" x14ac:dyDescent="0.2">
      <c r="A71" s="71" t="s">
        <v>54</v>
      </c>
      <c r="B71" s="46" t="s">
        <v>23</v>
      </c>
      <c r="C71" s="47">
        <f ca="1">IFERROR(
   COUNTIF(INDIRECT("'" &amp; LOOKUP("zzz",$A$7:A71) &amp; "'!C:C"), B71),
   0
)</f>
        <v>0</v>
      </c>
      <c r="D71" s="88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15" customFormat="1" ht="50" customHeight="1" x14ac:dyDescent="0.2">
      <c r="A72" s="28"/>
      <c r="B72" s="29" t="s">
        <v>24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15" customFormat="1" ht="50" customHeight="1" x14ac:dyDescent="0.2">
      <c r="A73" s="28"/>
      <c r="B73" s="29" t="s">
        <v>163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15" customFormat="1" ht="50" customHeight="1" x14ac:dyDescent="0.2">
      <c r="A74" s="28"/>
      <c r="B74" s="29" t="s">
        <v>17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15" customFormat="1" ht="50" customHeight="1" x14ac:dyDescent="0.2">
      <c r="A75" s="28"/>
      <c r="B75" s="29" t="s">
        <v>12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15" customFormat="1" ht="50" customHeight="1" x14ac:dyDescent="0.2">
      <c r="A76" s="28"/>
      <c r="B76" s="92" t="s">
        <v>161</v>
      </c>
      <c r="C76" s="28">
        <f ca="1">IFERROR(
   COUNTIF(INDIRECT("'" &amp; LOOKUP("zzz",$A$7:A76) &amp; "'!C:C"), B76),
   0
)</f>
        <v>0</v>
      </c>
      <c r="D76" s="73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15" ht="50" customHeight="1" x14ac:dyDescent="0.2">
      <c r="A77" s="28"/>
      <c r="B77" s="29" t="s">
        <v>73</v>
      </c>
      <c r="C77" s="28">
        <f ca="1">IFERROR(
   COUNTIF(INDIRECT("'" &amp; LOOKUP("zzz",$A$7:A77) &amp; "'!C:C"), B77),
   0
)</f>
        <v>0</v>
      </c>
      <c r="D77" s="87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15" customFormat="1" ht="50" customHeight="1" x14ac:dyDescent="0.2">
      <c r="A78" s="24"/>
      <c r="B78" s="25" t="s">
        <v>39</v>
      </c>
      <c r="C78" s="24">
        <f ca="1">IFERROR(
   COUNTIF(INDIRECT("'" &amp; LOOKUP("zzz",$A$7:A78) &amp; "'!C:C"), B78),
   0
)</f>
        <v>0</v>
      </c>
      <c r="D78" s="73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15" customFormat="1" ht="50" customHeight="1" x14ac:dyDescent="0.2">
      <c r="A79" s="72" t="s">
        <v>55</v>
      </c>
      <c r="B79" s="44" t="s">
        <v>68</v>
      </c>
      <c r="C79" s="45">
        <f ca="1">IFERROR(
   COUNTIF(INDIRECT("'" &amp; LOOKUP("zzz",$A$7:A79) &amp; "'!C:C"), B79),
   0
)</f>
        <v>0</v>
      </c>
      <c r="D79" s="8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customFormat="1" ht="50" customHeight="1" x14ac:dyDescent="0.2">
      <c r="A80" s="28"/>
      <c r="B80" s="29" t="s">
        <v>69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customFormat="1" ht="50" customHeight="1" x14ac:dyDescent="0.2">
      <c r="A81" s="28"/>
      <c r="B81" s="29" t="s">
        <v>70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customFormat="1" ht="50" customHeight="1" x14ac:dyDescent="0.2">
      <c r="A82" s="28"/>
      <c r="B82" s="29" t="s">
        <v>67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28"/>
      <c r="B83" s="29" t="s">
        <v>71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customFormat="1" ht="50" customHeight="1" x14ac:dyDescent="0.2">
      <c r="A84" s="28"/>
      <c r="B84" s="29" t="s">
        <v>30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customFormat="1" ht="50" customHeight="1" x14ac:dyDescent="0.2">
      <c r="A85" s="28"/>
      <c r="B85" s="29" t="s">
        <v>72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50" customHeight="1" x14ac:dyDescent="0.2">
      <c r="A86" s="28"/>
      <c r="B86" s="29" t="s">
        <v>40</v>
      </c>
      <c r="C86" s="28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ht="50" customHeight="1" x14ac:dyDescent="0.2">
      <c r="A87" s="69" t="s">
        <v>57</v>
      </c>
      <c r="B87" s="48" t="s">
        <v>27</v>
      </c>
      <c r="C87" s="47">
        <f ca="1">IFERROR(
   COUNTIF(INDIRECT("'" &amp; LOOKUP("zzz",$A$7:A87) &amp; "'!C:C"), B87),
   0
)</f>
        <v>0</v>
      </c>
      <c r="D87" s="88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ht="50" customHeight="1" x14ac:dyDescent="0.2">
      <c r="A88" s="31"/>
      <c r="B88" s="30" t="s">
        <v>78</v>
      </c>
      <c r="C88" s="28">
        <f ca="1">IFERROR(
   COUNTIF(INDIRECT("'" &amp; LOOKUP("zzz",$A$7:A88) &amp; "'!C:C"), B88),
   0
)</f>
        <v>0</v>
      </c>
      <c r="D88" s="73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ht="50" customHeight="1" x14ac:dyDescent="0.2">
      <c r="A89" s="31"/>
      <c r="B89" s="30" t="s">
        <v>79</v>
      </c>
      <c r="C89" s="28">
        <f ca="1">IFERROR(
   COUNTIF(INDIRECT("'" &amp; LOOKUP("zzz",$A$7:A89) &amp; "'!C:C"), B89),
   0
)</f>
        <v>0</v>
      </c>
      <c r="D89" s="73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ht="50" customHeight="1" x14ac:dyDescent="0.2">
      <c r="A90" s="31"/>
      <c r="B90" s="30" t="s">
        <v>28</v>
      </c>
      <c r="C90" s="28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ht="50" customHeight="1" x14ac:dyDescent="0.2">
      <c r="A91" s="31"/>
      <c r="B91" s="30" t="s">
        <v>164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ht="50" customHeight="1" x14ac:dyDescent="0.2">
      <c r="A92" s="31"/>
      <c r="B92" s="30" t="s">
        <v>29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ht="50" customHeight="1" x14ac:dyDescent="0.2">
      <c r="A93" s="31"/>
      <c r="B93" s="30" t="s">
        <v>38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ht="50" customHeight="1" x14ac:dyDescent="0.2">
      <c r="A94" s="65"/>
      <c r="B94" s="66" t="s">
        <v>83</v>
      </c>
      <c r="C94" s="28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ht="50" customHeight="1" x14ac:dyDescent="0.2">
      <c r="A95" s="81"/>
      <c r="B95" s="85" t="s">
        <v>80</v>
      </c>
      <c r="C95" s="80">
        <f ca="1">IFERROR(
   COUNTIF(INDIRECT("'" &amp; LOOKUP("zzz",$A$7:A95) &amp; "'!C:C"), B95),
   0
)</f>
        <v>0</v>
      </c>
      <c r="D95" s="87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24" t="s">
        <v>88</v>
      </c>
      <c r="B96" s="29" t="s">
        <v>104</v>
      </c>
      <c r="C96" s="24">
        <f ca="1">IFERROR(
   COUNTIF(INDIRECT("'" &amp; LOOKUP("zzz",$A$7:A96) &amp; "'!C:C"), B96),
   0
)</f>
        <v>0</v>
      </c>
      <c r="D96" s="88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73"/>
      <c r="B97" s="29" t="s">
        <v>103</v>
      </c>
      <c r="C97" s="28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28"/>
      <c r="B98" s="29" t="s">
        <v>102</v>
      </c>
      <c r="C98" s="28">
        <f ca="1">IFERROR(
   COUNTIF(INDIRECT("'" &amp; LOOKUP("zzz",$A$7:A98) &amp; "'!C:C"), B98),
   0
)</f>
        <v>0</v>
      </c>
      <c r="D98" s="73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28"/>
      <c r="B99" s="29" t="s">
        <v>159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28"/>
      <c r="B100" s="29" t="s">
        <v>101</v>
      </c>
      <c r="C100" s="28">
        <f ca="1">IFERROR(
   COUNTIF(INDIRECT("'" &amp; LOOKUP("zzz",$A$7:A100) &amp; "'!C:C"), B100),
   0
)</f>
        <v>0</v>
      </c>
      <c r="D100" s="73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80"/>
      <c r="B101" s="75" t="s">
        <v>100</v>
      </c>
      <c r="C101" s="80">
        <f ca="1">IFERROR(
   COUNTIF(INDIRECT("'" &amp; LOOKUP("zzz",$A$7:A101) &amp; "'!C:C"), B101),
   0
)</f>
        <v>0</v>
      </c>
      <c r="D101" s="87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24" t="s">
        <v>90</v>
      </c>
      <c r="B102" s="25" t="s">
        <v>119</v>
      </c>
      <c r="C102" s="24">
        <f ca="1">IFERROR(
   COUNTIF(INDIRECT("'" &amp; LOOKUP("zzz",$A$7:A102) &amp; "'!C:C"), B102),
   0
)</f>
        <v>0</v>
      </c>
      <c r="D102" s="88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28"/>
      <c r="B103" s="29" t="s">
        <v>118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28"/>
      <c r="B104" s="29" t="s">
        <v>117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28"/>
      <c r="B105" s="29" t="s">
        <v>153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28"/>
      <c r="B106" s="29" t="s">
        <v>116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28"/>
      <c r="B107" s="29" t="s">
        <v>160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28"/>
      <c r="B108" s="29" t="s">
        <v>167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28"/>
      <c r="B109" s="29" t="s">
        <v>115</v>
      </c>
      <c r="C109" s="28">
        <f ca="1">IFERROR(
   COUNTIF(INDIRECT("'" &amp; LOOKUP("zzz",$A$7:A109) &amp; "'!C:C"), B109),
   0
)</f>
        <v>0</v>
      </c>
      <c r="D109" s="73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28"/>
      <c r="B110" s="29" t="s">
        <v>114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1"/>
      <c r="B111" s="30" t="s">
        <v>113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31"/>
      <c r="B112" s="30" t="s">
        <v>112</v>
      </c>
      <c r="C112" s="28">
        <f ca="1">IFERROR(
   COUNTIF(INDIRECT("'" &amp; LOOKUP("zzz",$A$7:A112) &amp; "'!C:C"), B112),
   0
)</f>
        <v>0</v>
      </c>
      <c r="D112" s="73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79"/>
      <c r="B113" s="78" t="s">
        <v>111</v>
      </c>
      <c r="C113" s="77">
        <f ca="1">IFERROR(
   COUNTIF(INDIRECT("'" &amp; LOOKUP("zzz",$A$7:A113) &amp; "'!C:C"), B113),
   0
)</f>
        <v>0</v>
      </c>
      <c r="D113" s="87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4" t="s">
        <v>89</v>
      </c>
      <c r="B114" s="25" t="s">
        <v>110</v>
      </c>
      <c r="C114" s="24">
        <f ca="1">IFERROR(
   COUNTIF(INDIRECT("'" &amp; LOOKUP("zzz",$A$7:A114) &amp; "'!C:C"), B114),
   0
)</f>
        <v>0</v>
      </c>
      <c r="D114" s="88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8"/>
      <c r="B115" s="29" t="s">
        <v>109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8"/>
      <c r="B116" s="29" t="s">
        <v>108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8"/>
      <c r="B117" s="29" t="s">
        <v>162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8"/>
      <c r="B118" s="29" t="s">
        <v>107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8"/>
      <c r="B119" s="29" t="s">
        <v>106</v>
      </c>
      <c r="C119" s="28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76"/>
      <c r="B120" s="75" t="s">
        <v>105</v>
      </c>
      <c r="C120" s="74">
        <f ca="1">IFERROR(
   COUNTIF(INDIRECT("'" &amp; LOOKUP("zzz",$A$7:A120) &amp; "'!C:C"), B120),
   0
)</f>
        <v>0</v>
      </c>
      <c r="D120" s="87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69" t="s">
        <v>87</v>
      </c>
      <c r="B121" s="66" t="s">
        <v>99</v>
      </c>
      <c r="C121" s="47">
        <f ca="1">IFERROR(
   COUNTIF(INDIRECT("'" &amp; LOOKUP("zzz",$A$7:A121) &amp; "'!C:C"), B121),
   0
)</f>
        <v>0</v>
      </c>
      <c r="D121" s="88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73"/>
      <c r="B122" s="29" t="s">
        <v>98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8"/>
      <c r="B123" s="29" t="s">
        <v>97</v>
      </c>
      <c r="C123" s="28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4"/>
      <c r="B124" s="25" t="s">
        <v>96</v>
      </c>
      <c r="C124" s="24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38"/>
      <c r="B125" s="43" t="s">
        <v>95</v>
      </c>
      <c r="C125" s="28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8"/>
      <c r="B126" s="29" t="s">
        <v>94</v>
      </c>
      <c r="C126" s="28">
        <f ca="1">IFERROR(
   COUNTIF(INDIRECT("'" &amp; LOOKUP("zzz",$A$7:A126) &amp; "'!C:C"), B126),
   0
)</f>
        <v>0</v>
      </c>
      <c r="D126" s="87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69" t="s">
        <v>139</v>
      </c>
      <c r="B127" s="48" t="s">
        <v>148</v>
      </c>
      <c r="C127" s="47">
        <f ca="1">IFERROR(
   COUNTIF(INDIRECT("'" &amp; LOOKUP("zzz",$A$7:A127) &amp; "'!C:C"), B127),
   0
)</f>
        <v>0</v>
      </c>
      <c r="D127" s="88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31"/>
      <c r="B128" s="30" t="s">
        <v>149</v>
      </c>
      <c r="C128" s="28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31"/>
      <c r="B129" s="30" t="s">
        <v>150</v>
      </c>
      <c r="C129" s="28">
        <f ca="1">IFERROR(
   COUNTIF(INDIRECT("'" &amp; LOOKUP("zzz",$A$7:A129) &amp; "'!C:C"), B129),
   0
)</f>
        <v>0</v>
      </c>
      <c r="D129" s="73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65"/>
      <c r="B130" s="66" t="s">
        <v>122</v>
      </c>
      <c r="C130" s="38">
        <f ca="1">IFERROR(
   COUNTIF(INDIRECT("'" &amp; LOOKUP("zzz",$A$7:A130) &amp; "'!C:C"), B130),
   0
)</f>
        <v>0</v>
      </c>
      <c r="D130" s="73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1"/>
      <c r="B131" s="30" t="s">
        <v>151</v>
      </c>
      <c r="C131" s="28">
        <f ca="1">IFERROR(
   COUNTIF(INDIRECT("'" &amp; LOOKUP("zzz",$A$7:A131) &amp; "'!C:C"), B131),
   0
)</f>
        <v>0</v>
      </c>
      <c r="D131" s="73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73"/>
      <c r="B132" s="29" t="s">
        <v>152</v>
      </c>
      <c r="C132" s="28">
        <f ca="1">IFERROR(
   COUNTIF(INDIRECT("'" &amp; LOOKUP("zzz",$A$7:A132) &amp; "'!C:C"), B132),
   0
)</f>
        <v>0</v>
      </c>
      <c r="D132" s="87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69" t="s">
        <v>140</v>
      </c>
      <c r="B133" s="48" t="s">
        <v>141</v>
      </c>
      <c r="C133" s="47">
        <f ca="1">IFERROR(
   COUNTIF(INDIRECT("'" &amp; LOOKUP("zzz",$A$7:A133) &amp; "'!C:C"), B133),
   0
)</f>
        <v>0</v>
      </c>
      <c r="D133" s="88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1"/>
      <c r="B134" s="30" t="s">
        <v>142</v>
      </c>
      <c r="C134" s="28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31"/>
      <c r="B135" s="30" t="s">
        <v>143</v>
      </c>
      <c r="C135" s="28">
        <f ca="1">IFERROR(
   COUNTIF(INDIRECT("'" &amp; LOOKUP("zzz",$A$7:A135) &amp; "'!C:C"), B135),
   0
)</f>
        <v>0</v>
      </c>
      <c r="D135" s="73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65"/>
      <c r="B136" s="66" t="s">
        <v>144</v>
      </c>
      <c r="C136" s="3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31"/>
      <c r="B137" s="30" t="s">
        <v>145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73"/>
      <c r="B138" s="29" t="s">
        <v>146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29" t="s">
        <v>147</v>
      </c>
      <c r="C139" s="28">
        <f ca="1">IFERROR(
   COUNTIF(INDIRECT("'" &amp; LOOKUP("zzz",$A$7:A139) &amp; "'!C:C"), B139),
   0
)</f>
        <v>0</v>
      </c>
      <c r="D139" s="73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39"/>
      <c r="B140" s="40"/>
      <c r="C140" s="41"/>
      <c r="D140" s="22"/>
    </row>
    <row r="141" spans="1:4" ht="50" customHeight="1" x14ac:dyDescent="0.2">
      <c r="A141" s="41"/>
      <c r="B141" s="42"/>
      <c r="C141" s="41"/>
      <c r="D141" s="22"/>
    </row>
    <row r="142" spans="1:4" ht="50" customHeight="1" x14ac:dyDescent="0.2">
      <c r="A142" s="39"/>
      <c r="B142" s="42"/>
      <c r="C142" s="41"/>
      <c r="D142" s="22"/>
    </row>
    <row r="143" spans="1:4" ht="50" customHeight="1" x14ac:dyDescent="0.2">
      <c r="A143" s="39"/>
      <c r="B143" s="42"/>
      <c r="C143" s="41"/>
      <c r="D143" s="22"/>
    </row>
    <row r="144" spans="1:4" ht="50" customHeight="1" x14ac:dyDescent="0.2">
      <c r="A144" s="39"/>
      <c r="B144" s="40"/>
      <c r="C144" s="41"/>
      <c r="D144" s="22"/>
    </row>
    <row r="145" spans="1:4" ht="50" customHeight="1" x14ac:dyDescent="0.2">
      <c r="A145" s="39"/>
      <c r="B145" s="40"/>
      <c r="C145" s="41"/>
      <c r="D145" s="22"/>
    </row>
    <row r="146" spans="1:4" ht="50" customHeight="1" x14ac:dyDescent="0.2">
      <c r="A146" s="41"/>
      <c r="B146" s="40"/>
      <c r="C146" s="41"/>
      <c r="D146" s="22"/>
    </row>
    <row r="147" spans="1:4" ht="50" customHeight="1" x14ac:dyDescent="0.2">
      <c r="A147" s="39"/>
      <c r="B147" s="40"/>
      <c r="C147" s="41"/>
      <c r="D147" s="22"/>
    </row>
    <row r="148" spans="1:4" ht="50" customHeight="1" x14ac:dyDescent="0.2">
      <c r="A148" s="41"/>
      <c r="B148" s="40"/>
      <c r="C148" s="41"/>
      <c r="D148" s="22"/>
    </row>
    <row r="149" spans="1:4" ht="50" customHeight="1" x14ac:dyDescent="0.2">
      <c r="A149" s="39"/>
      <c r="B149" s="40"/>
      <c r="C149" s="41"/>
      <c r="D149" s="22"/>
    </row>
    <row r="150" spans="1:4" ht="50" customHeight="1" x14ac:dyDescent="0.2">
      <c r="A150" s="39"/>
      <c r="B150" s="40"/>
      <c r="C150" s="41"/>
      <c r="D150" s="22"/>
    </row>
    <row r="151" spans="1:4" ht="50" customHeight="1" x14ac:dyDescent="0.2">
      <c r="A151" s="39"/>
      <c r="B151" s="40"/>
      <c r="C151" s="41"/>
      <c r="D151" s="22"/>
    </row>
    <row r="152" spans="1:4" ht="50" customHeight="1" x14ac:dyDescent="0.2">
      <c r="A152" s="39"/>
      <c r="B152" s="40"/>
      <c r="C152" s="41"/>
      <c r="D152" s="22"/>
    </row>
    <row r="153" spans="1:4" ht="50" customHeight="1" x14ac:dyDescent="0.2">
      <c r="A153" s="39"/>
      <c r="B153" s="40"/>
      <c r="C153" s="41"/>
      <c r="D153" s="22"/>
    </row>
    <row r="154" spans="1:4" ht="50" customHeight="1" x14ac:dyDescent="0.2">
      <c r="A154" s="39"/>
      <c r="B154" s="40"/>
      <c r="C154" s="41"/>
      <c r="D154" s="22"/>
    </row>
    <row r="155" spans="1:4" ht="50" customHeight="1" x14ac:dyDescent="0.2">
      <c r="A155" s="39"/>
      <c r="B155" s="40"/>
      <c r="C155" s="41"/>
      <c r="D155" s="22"/>
    </row>
    <row r="156" spans="1:4" ht="50" customHeight="1" x14ac:dyDescent="0.2">
      <c r="A156" s="39"/>
      <c r="B156" s="40"/>
      <c r="C156" s="41"/>
      <c r="D156" s="22"/>
    </row>
    <row r="157" spans="1:4" ht="50" customHeight="1" x14ac:dyDescent="0.2">
      <c r="A157" s="39"/>
      <c r="B157" s="40"/>
      <c r="C157" s="41"/>
      <c r="D157" s="22"/>
    </row>
    <row r="158" spans="1:4" ht="50" customHeight="1" x14ac:dyDescent="0.2">
      <c r="A158" s="39"/>
      <c r="B158" s="40"/>
      <c r="C158" s="41"/>
      <c r="D158" s="22"/>
    </row>
    <row r="159" spans="1:4" ht="50" customHeight="1" x14ac:dyDescent="0.2">
      <c r="A159" s="41"/>
      <c r="B159" s="42"/>
      <c r="C159" s="41"/>
      <c r="D159" s="22"/>
    </row>
    <row r="160" spans="1:4" ht="50" customHeight="1" x14ac:dyDescent="0.2">
      <c r="A160" s="39"/>
      <c r="B160" s="42"/>
      <c r="C160" s="41"/>
      <c r="D160" s="22"/>
    </row>
    <row r="161" spans="1:4" ht="50" customHeight="1" x14ac:dyDescent="0.2">
      <c r="A161" s="39"/>
      <c r="B161" s="42"/>
      <c r="C161" s="41"/>
      <c r="D161" s="22"/>
    </row>
    <row r="162" spans="1:4" ht="50" customHeight="1" x14ac:dyDescent="0.2">
      <c r="A162" s="39"/>
      <c r="B162" s="40"/>
      <c r="C162" s="41"/>
      <c r="D162" s="22"/>
    </row>
    <row r="163" spans="1:4" ht="50" customHeight="1" x14ac:dyDescent="0.2">
      <c r="A163" s="39"/>
      <c r="B163" s="40"/>
      <c r="C163" s="41"/>
      <c r="D163" s="22"/>
    </row>
    <row r="164" spans="1:4" ht="50" customHeight="1" x14ac:dyDescent="0.2">
      <c r="A164" s="41"/>
      <c r="B164" s="40"/>
      <c r="C164" s="41"/>
      <c r="D164" s="22"/>
    </row>
    <row r="165" spans="1:4" ht="50" customHeight="1" x14ac:dyDescent="0.2">
      <c r="A165" s="39"/>
      <c r="B165" s="40"/>
      <c r="C165" s="41"/>
      <c r="D165" s="22"/>
    </row>
    <row r="166" spans="1:4" ht="50" customHeight="1" x14ac:dyDescent="0.2">
      <c r="A166" s="41"/>
      <c r="B166" s="40"/>
      <c r="C166" s="41"/>
      <c r="D166" s="22"/>
    </row>
    <row r="167" spans="1:4" ht="50" customHeight="1" x14ac:dyDescent="0.2">
      <c r="A167" s="39"/>
      <c r="B167" s="40"/>
      <c r="C167" s="41"/>
      <c r="D167" s="22"/>
    </row>
    <row r="168" spans="1:4" ht="50" customHeight="1" x14ac:dyDescent="0.2">
      <c r="A168" s="39"/>
      <c r="B168" s="40"/>
      <c r="C168" s="41"/>
      <c r="D168" s="22"/>
    </row>
    <row r="169" spans="1:4" ht="50" customHeight="1" x14ac:dyDescent="0.2">
      <c r="A169" s="39"/>
      <c r="B169" s="40"/>
      <c r="C169" s="41"/>
      <c r="D169" s="22"/>
    </row>
    <row r="170" spans="1:4" ht="50" customHeight="1" x14ac:dyDescent="0.2">
      <c r="A170" s="39"/>
      <c r="B170" s="40"/>
      <c r="C170" s="41"/>
      <c r="D170" s="22"/>
    </row>
    <row r="171" spans="1:4" ht="50" customHeight="1" x14ac:dyDescent="0.2">
      <c r="A171" s="39"/>
      <c r="B171" s="40"/>
      <c r="C171" s="41"/>
      <c r="D171" s="22"/>
    </row>
    <row r="172" spans="1:4" ht="50" customHeight="1" x14ac:dyDescent="0.2">
      <c r="A172" s="39"/>
      <c r="B172" s="40"/>
      <c r="C172" s="41"/>
      <c r="D172" s="22"/>
    </row>
    <row r="173" spans="1:4" ht="50" customHeight="1" x14ac:dyDescent="0.2">
      <c r="A173" s="39"/>
      <c r="B173" s="40"/>
      <c r="C173" s="41"/>
      <c r="D173" s="22"/>
    </row>
    <row r="174" spans="1:4" ht="50" customHeight="1" x14ac:dyDescent="0.2">
      <c r="A174" s="39"/>
      <c r="B174" s="40"/>
      <c r="C174" s="41"/>
      <c r="D174" s="22"/>
    </row>
    <row r="175" spans="1:4" ht="50" customHeight="1" x14ac:dyDescent="0.2">
      <c r="A175" s="41"/>
      <c r="B175" s="42"/>
      <c r="C175" s="41"/>
      <c r="D175" s="22"/>
    </row>
    <row r="176" spans="1:4" ht="50" customHeight="1" x14ac:dyDescent="0.2">
      <c r="A176" s="41"/>
      <c r="B176" s="42"/>
      <c r="C176" s="41"/>
      <c r="D176" s="22"/>
    </row>
    <row r="177" spans="1:4" ht="50" customHeight="1" x14ac:dyDescent="0.2">
      <c r="A177" s="41"/>
      <c r="B177" s="42"/>
      <c r="C177" s="41"/>
      <c r="D177" s="22"/>
    </row>
    <row r="178" spans="1:4" ht="50" customHeight="1" x14ac:dyDescent="0.2">
      <c r="A178" s="41"/>
      <c r="B178" s="42"/>
      <c r="C178" s="41"/>
      <c r="D178" s="22"/>
    </row>
    <row r="179" spans="1:4" ht="50" customHeight="1" x14ac:dyDescent="0.2">
      <c r="A179" s="41"/>
      <c r="B179" s="42"/>
      <c r="C179" s="41"/>
      <c r="D179" s="22"/>
    </row>
    <row r="180" spans="1:4" ht="50" customHeight="1" x14ac:dyDescent="0.2">
      <c r="A180" s="41"/>
      <c r="B180" s="42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41"/>
      <c r="B182" s="42"/>
      <c r="C182" s="41"/>
      <c r="D182" s="22"/>
    </row>
    <row r="183" spans="1:4" ht="50" customHeight="1" x14ac:dyDescent="0.2">
      <c r="A183" s="41"/>
      <c r="B183" s="42"/>
      <c r="C183" s="41"/>
      <c r="D183" s="22"/>
    </row>
    <row r="184" spans="1:4" ht="50" customHeight="1" x14ac:dyDescent="0.2">
      <c r="A184" s="41"/>
      <c r="B184" s="42"/>
      <c r="C184" s="41"/>
      <c r="D184" s="22"/>
    </row>
    <row r="185" spans="1:4" ht="50" customHeight="1" x14ac:dyDescent="0.2">
      <c r="A185" s="41"/>
      <c r="B185" s="42"/>
      <c r="C185" s="41"/>
      <c r="D185" s="22"/>
    </row>
    <row r="186" spans="1:4" ht="50" customHeight="1" x14ac:dyDescent="0.2">
      <c r="A186" s="41"/>
      <c r="B186" s="42"/>
      <c r="C186" s="41"/>
      <c r="D186" s="22"/>
    </row>
    <row r="187" spans="1:4" ht="50" customHeight="1" x14ac:dyDescent="0.2">
      <c r="A187" s="41"/>
      <c r="B187" s="42"/>
      <c r="C187" s="41"/>
      <c r="D187" s="22"/>
    </row>
    <row r="188" spans="1:4" ht="50" customHeight="1" x14ac:dyDescent="0.2">
      <c r="A188" s="41"/>
      <c r="B188" s="42"/>
      <c r="C188" s="41"/>
      <c r="D188" s="22"/>
    </row>
    <row r="189" spans="1:4" ht="50" customHeight="1" x14ac:dyDescent="0.2">
      <c r="A189" s="41"/>
      <c r="B189" s="42"/>
      <c r="C189" s="41"/>
      <c r="D189" s="22"/>
    </row>
    <row r="190" spans="1:4" ht="50" customHeight="1" x14ac:dyDescent="0.2">
      <c r="A190" s="41"/>
      <c r="B190" s="42"/>
      <c r="C190" s="41"/>
      <c r="D190" s="22"/>
    </row>
    <row r="191" spans="1:4" ht="50" customHeight="1" x14ac:dyDescent="0.2">
      <c r="A191" s="41"/>
      <c r="B191" s="42"/>
      <c r="C191" s="41"/>
      <c r="D191" s="22"/>
    </row>
    <row r="192" spans="1:4" ht="50" customHeight="1" x14ac:dyDescent="0.2">
      <c r="A192" s="41"/>
      <c r="B192" s="42"/>
      <c r="C192" s="41"/>
      <c r="D192" s="22"/>
    </row>
    <row r="193" spans="1:4" ht="50" customHeight="1" x14ac:dyDescent="0.2">
      <c r="A193" s="41"/>
      <c r="B193" s="42"/>
      <c r="C193" s="41"/>
      <c r="D193" s="22"/>
    </row>
    <row r="194" spans="1:4" ht="50" customHeight="1" x14ac:dyDescent="0.2">
      <c r="A194" s="41"/>
      <c r="B194" s="42"/>
      <c r="C194" s="41"/>
      <c r="D194" s="22"/>
    </row>
    <row r="195" spans="1:4" ht="50" customHeight="1" x14ac:dyDescent="0.2">
      <c r="A195" s="41"/>
      <c r="B195" s="42"/>
      <c r="C195" s="41"/>
      <c r="D195" s="22"/>
    </row>
    <row r="196" spans="1:4" ht="50" customHeight="1" x14ac:dyDescent="0.2">
      <c r="A196" s="41"/>
      <c r="B196" s="42"/>
      <c r="C196" s="41"/>
      <c r="D196" s="22"/>
    </row>
    <row r="197" spans="1:4" ht="50" customHeight="1" x14ac:dyDescent="0.2">
      <c r="A197" s="41"/>
      <c r="B197" s="42"/>
      <c r="C197" s="41"/>
      <c r="D197" s="22"/>
    </row>
    <row r="198" spans="1:4" ht="50" customHeight="1" x14ac:dyDescent="0.2">
      <c r="A198" s="41"/>
      <c r="B198" s="42"/>
      <c r="C198" s="41"/>
      <c r="D198" s="22"/>
    </row>
    <row r="199" spans="1:4" ht="50" customHeight="1" x14ac:dyDescent="0.2">
      <c r="A199" s="41"/>
      <c r="B199" s="42"/>
      <c r="C199" s="41"/>
      <c r="D199" s="22"/>
    </row>
    <row r="200" spans="1:4" ht="50" customHeight="1" x14ac:dyDescent="0.2">
      <c r="A200" s="23"/>
      <c r="B200" s="21"/>
      <c r="C200" s="21"/>
      <c r="D200" s="22"/>
    </row>
    <row r="201" spans="1:4" ht="50" customHeight="1" x14ac:dyDescent="0.2">
      <c r="A201" s="23"/>
      <c r="B201" s="21"/>
      <c r="C201" s="21"/>
      <c r="D201" s="22"/>
    </row>
    <row r="202" spans="1:4" ht="50" customHeight="1" x14ac:dyDescent="0.2">
      <c r="A202" s="23"/>
      <c r="B202" s="21"/>
      <c r="C202" s="21"/>
      <c r="D202" s="22"/>
    </row>
    <row r="203" spans="1:4" ht="50" customHeight="1" x14ac:dyDescent="0.2">
      <c r="A203" s="23"/>
      <c r="B203" s="21"/>
      <c r="C203" s="21"/>
      <c r="D203" s="22"/>
    </row>
    <row r="204" spans="1:4" ht="50" customHeight="1" x14ac:dyDescent="0.2">
      <c r="A204" s="23"/>
      <c r="B204" s="21"/>
      <c r="C204" s="21"/>
      <c r="D204" s="22"/>
    </row>
    <row r="205" spans="1:4" ht="50" customHeight="1" x14ac:dyDescent="0.2">
      <c r="A205" s="23"/>
      <c r="B205" s="21"/>
      <c r="C205" s="21"/>
      <c r="D205" s="22"/>
    </row>
    <row r="206" spans="1:4" ht="50" customHeight="1" x14ac:dyDescent="0.2">
      <c r="A206" s="23"/>
      <c r="B206" s="21"/>
      <c r="C206" s="21"/>
      <c r="D206" s="22"/>
    </row>
    <row r="207" spans="1:4" ht="50" customHeight="1" x14ac:dyDescent="0.2">
      <c r="A207" s="23"/>
      <c r="B207" s="21"/>
      <c r="C207" s="21"/>
      <c r="D207" s="22"/>
    </row>
    <row r="208" spans="1:4" ht="50" customHeight="1" x14ac:dyDescent="0.2">
      <c r="A208" s="23"/>
      <c r="B208" s="21"/>
      <c r="C208" s="21"/>
      <c r="D208" s="22"/>
    </row>
    <row r="209" spans="1:4" ht="50" customHeight="1" x14ac:dyDescent="0.2">
      <c r="A209" s="23"/>
      <c r="B209" s="21"/>
      <c r="C209" s="21"/>
      <c r="D209" s="22"/>
    </row>
    <row r="210" spans="1:4" ht="50" customHeight="1" x14ac:dyDescent="0.2">
      <c r="A210" s="23"/>
      <c r="B210" s="21"/>
      <c r="C210" s="21"/>
      <c r="D210" s="22"/>
    </row>
    <row r="211" spans="1:4" ht="50" customHeight="1" x14ac:dyDescent="0.2">
      <c r="A211" s="23"/>
      <c r="B211" s="21"/>
      <c r="C211" s="21"/>
      <c r="D211" s="22"/>
    </row>
    <row r="212" spans="1:4" ht="50" customHeight="1" x14ac:dyDescent="0.2">
      <c r="A212" s="23"/>
      <c r="B212" s="21"/>
      <c r="C212" s="21"/>
      <c r="D212" s="22"/>
    </row>
    <row r="213" spans="1:4" ht="50" customHeight="1" x14ac:dyDescent="0.2">
      <c r="A213" s="23"/>
      <c r="B213" s="21"/>
      <c r="C213" s="21"/>
      <c r="D213" s="22"/>
    </row>
    <row r="214" spans="1:4" ht="50" customHeight="1" x14ac:dyDescent="0.2">
      <c r="A214" s="23"/>
      <c r="B214" s="21"/>
      <c r="C214" s="21"/>
      <c r="D214" s="22"/>
    </row>
    <row r="215" spans="1:4" ht="50" customHeight="1" x14ac:dyDescent="0.2">
      <c r="A215" s="23"/>
      <c r="B215" s="21"/>
      <c r="C215" s="21"/>
      <c r="D215" s="22"/>
    </row>
    <row r="216" spans="1:4" ht="50" customHeight="1" x14ac:dyDescent="0.2">
      <c r="A216" s="23"/>
      <c r="B216" s="21"/>
      <c r="C216" s="21"/>
      <c r="D216" s="22"/>
    </row>
    <row r="217" spans="1:4" ht="50" customHeight="1" x14ac:dyDescent="0.2">
      <c r="A217" s="23"/>
      <c r="B217" s="21"/>
      <c r="C217" s="21"/>
      <c r="D217" s="22"/>
    </row>
    <row r="218" spans="1:4" ht="50" customHeight="1" x14ac:dyDescent="0.2">
      <c r="A218" s="23"/>
      <c r="B218" s="21"/>
      <c r="C218" s="21"/>
      <c r="D218" s="22"/>
    </row>
    <row r="219" spans="1:4" ht="50" customHeight="1" x14ac:dyDescent="0.2">
      <c r="A219" s="23"/>
      <c r="B219" s="21"/>
      <c r="C219" s="21"/>
      <c r="D219" s="22"/>
    </row>
    <row r="220" spans="1:4" ht="50" customHeight="1" x14ac:dyDescent="0.2">
      <c r="A220" s="23"/>
      <c r="B220" s="21"/>
      <c r="C220" s="21"/>
      <c r="D220" s="22"/>
    </row>
    <row r="221" spans="1:4" ht="50" customHeight="1" x14ac:dyDescent="0.2">
      <c r="A221" s="23"/>
      <c r="B221" s="21"/>
      <c r="C221" s="21"/>
      <c r="D221" s="22"/>
    </row>
    <row r="222" spans="1:4" ht="50" customHeight="1" x14ac:dyDescent="0.2">
      <c r="A222" s="23"/>
      <c r="B222" s="21"/>
      <c r="C222" s="21"/>
      <c r="D222" s="22"/>
    </row>
    <row r="223" spans="1:4" ht="50" customHeight="1" x14ac:dyDescent="0.2">
      <c r="A223" s="23"/>
      <c r="B223" s="21"/>
      <c r="C223" s="21"/>
      <c r="D223" s="22"/>
    </row>
    <row r="224" spans="1:4" ht="50" customHeight="1" x14ac:dyDescent="0.2">
      <c r="A224" s="23"/>
      <c r="B224" s="21"/>
      <c r="C224" s="21"/>
      <c r="D224" s="22"/>
    </row>
    <row r="225" spans="1:4" ht="50" customHeight="1" x14ac:dyDescent="0.2">
      <c r="A225" s="23"/>
      <c r="B225" s="21"/>
      <c r="C225" s="21"/>
      <c r="D225" s="22"/>
    </row>
    <row r="226" spans="1:4" ht="50" customHeight="1" x14ac:dyDescent="0.2">
      <c r="A226" s="23"/>
      <c r="B226" s="21"/>
      <c r="C226" s="21"/>
      <c r="D226" s="22"/>
    </row>
    <row r="227" spans="1:4" ht="50" customHeight="1" x14ac:dyDescent="0.2">
      <c r="A227" s="23"/>
      <c r="B227" s="21"/>
      <c r="C227" s="21"/>
      <c r="D227" s="22"/>
    </row>
    <row r="228" spans="1:4" ht="50" customHeight="1" x14ac:dyDescent="0.2">
      <c r="A228" s="23"/>
      <c r="B228" s="21"/>
      <c r="C228" s="21"/>
      <c r="D228" s="22"/>
    </row>
    <row r="229" spans="1:4" ht="50" customHeight="1" x14ac:dyDescent="0.2">
      <c r="A229" s="23"/>
      <c r="B229" s="21"/>
      <c r="C229" s="21"/>
      <c r="D229" s="22"/>
    </row>
    <row r="230" spans="1:4" ht="50" customHeight="1" x14ac:dyDescent="0.2">
      <c r="A230" s="23"/>
      <c r="B230" s="21"/>
      <c r="C230" s="21"/>
      <c r="D230" s="22"/>
    </row>
    <row r="231" spans="1:4" ht="50" customHeight="1" x14ac:dyDescent="0.2">
      <c r="A231" s="23"/>
      <c r="B231" s="21"/>
      <c r="C231" s="21"/>
      <c r="D231" s="22"/>
    </row>
    <row r="232" spans="1:4" ht="50" customHeight="1" x14ac:dyDescent="0.2">
      <c r="A232" s="23"/>
      <c r="B232" s="21"/>
      <c r="C232" s="21"/>
      <c r="D232" s="22"/>
    </row>
    <row r="233" spans="1:4" ht="50" customHeight="1" x14ac:dyDescent="0.2">
      <c r="A233" s="23"/>
      <c r="B233" s="21"/>
      <c r="C233" s="21"/>
      <c r="D233" s="22"/>
    </row>
    <row r="234" spans="1:4" ht="50" customHeight="1" x14ac:dyDescent="0.2">
      <c r="A234" s="23"/>
      <c r="B234" s="21"/>
      <c r="C234" s="21"/>
      <c r="D234" s="22"/>
    </row>
    <row r="235" spans="1:4" ht="50" customHeight="1" x14ac:dyDescent="0.2">
      <c r="A235" s="23"/>
      <c r="B235" s="21"/>
      <c r="C235" s="21"/>
    </row>
    <row r="236" spans="1:4" ht="50" customHeight="1" x14ac:dyDescent="0.2">
      <c r="A236" s="23"/>
      <c r="B236" s="21"/>
      <c r="C236" s="21"/>
    </row>
    <row r="237" spans="1:4" ht="50" customHeight="1" x14ac:dyDescent="0.2">
      <c r="A237" s="23"/>
      <c r="B237" s="21"/>
      <c r="C237" s="21"/>
    </row>
    <row r="238" spans="1:4" ht="50" customHeight="1" x14ac:dyDescent="0.2">
      <c r="A238" s="23"/>
      <c r="B238" s="21"/>
      <c r="C238" s="21"/>
    </row>
    <row r="239" spans="1:4" ht="50" customHeight="1" x14ac:dyDescent="0.2">
      <c r="A239" s="21"/>
      <c r="B239" s="21"/>
      <c r="C239" s="21"/>
    </row>
    <row r="240" spans="1:4" ht="50" customHeight="1" x14ac:dyDescent="0.2">
      <c r="A240" s="21"/>
      <c r="B240" s="21"/>
      <c r="C240" s="21"/>
    </row>
    <row r="241" spans="1:3" ht="50" customHeight="1" x14ac:dyDescent="0.2">
      <c r="A241" s="21"/>
      <c r="B241" s="21"/>
      <c r="C241" s="21"/>
    </row>
    <row r="242" spans="1:3" ht="50" customHeight="1" x14ac:dyDescent="0.2">
      <c r="A242" s="21"/>
      <c r="B242" s="21"/>
      <c r="C242" s="21"/>
    </row>
    <row r="243" spans="1:3" ht="50" customHeight="1" x14ac:dyDescent="0.2">
      <c r="A243" s="21"/>
      <c r="B243" s="21"/>
      <c r="C243" s="21"/>
    </row>
    <row r="244" spans="1:3" ht="50" customHeight="1" x14ac:dyDescent="0.2">
      <c r="A244" s="21"/>
      <c r="B244" s="21"/>
      <c r="C244" s="21"/>
    </row>
    <row r="245" spans="1:3" ht="50" customHeight="1" x14ac:dyDescent="0.2">
      <c r="A245" s="21"/>
      <c r="B245" s="21"/>
      <c r="C245" s="21"/>
    </row>
    <row r="246" spans="1:3" ht="50" customHeight="1" x14ac:dyDescent="0.2">
      <c r="A246" s="21"/>
      <c r="B246" s="21"/>
      <c r="C246" s="21"/>
    </row>
    <row r="247" spans="1:3" ht="50" customHeight="1" x14ac:dyDescent="0.2">
      <c r="A247" s="21"/>
      <c r="B247" s="21"/>
      <c r="C247" s="21"/>
    </row>
    <row r="248" spans="1:3" ht="50" customHeight="1" x14ac:dyDescent="0.2">
      <c r="A248" s="21"/>
      <c r="B248" s="21"/>
      <c r="C248" s="21"/>
    </row>
    <row r="249" spans="1:3" ht="50" customHeight="1" x14ac:dyDescent="0.2">
      <c r="A249" s="21"/>
      <c r="B249" s="21"/>
      <c r="C249" s="21"/>
    </row>
    <row r="250" spans="1:3" ht="50" customHeight="1" x14ac:dyDescent="0.2">
      <c r="A250" s="21"/>
      <c r="B250" s="21"/>
      <c r="C250" s="21"/>
    </row>
    <row r="251" spans="1:3" ht="50" customHeight="1" x14ac:dyDescent="0.2">
      <c r="A251" s="21"/>
      <c r="B251" s="21"/>
      <c r="C251" s="21"/>
    </row>
    <row r="252" spans="1:3" ht="50" customHeight="1" x14ac:dyDescent="0.2">
      <c r="A252" s="21"/>
      <c r="B252" s="21"/>
      <c r="C252" s="21"/>
    </row>
    <row r="253" spans="1:3" ht="50" customHeight="1" x14ac:dyDescent="0.2">
      <c r="A253" s="21"/>
      <c r="B253" s="21"/>
      <c r="C253" s="21"/>
    </row>
    <row r="254" spans="1:3" ht="50" customHeight="1" x14ac:dyDescent="0.2">
      <c r="A254" s="21"/>
      <c r="B254" s="21"/>
      <c r="C254" s="21"/>
    </row>
    <row r="255" spans="1:3" ht="50" customHeight="1" x14ac:dyDescent="0.2">
      <c r="A255" s="21"/>
      <c r="B255" s="21"/>
      <c r="C255" s="21"/>
    </row>
    <row r="256" spans="1:3" ht="50" customHeight="1" x14ac:dyDescent="0.2">
      <c r="A256" s="21"/>
      <c r="B256" s="21"/>
      <c r="C256" s="21"/>
    </row>
    <row r="257" spans="1:2" ht="50" customHeight="1" x14ac:dyDescent="0.2">
      <c r="A257" s="21"/>
      <c r="B257" s="21"/>
    </row>
    <row r="258" spans="1:2" ht="50" customHeight="1" x14ac:dyDescent="0.2">
      <c r="A258" s="21"/>
      <c r="B258" s="21"/>
    </row>
    <row r="259" spans="1:2" ht="50" customHeight="1" x14ac:dyDescent="0.2">
      <c r="A259" s="21"/>
      <c r="B259" s="21"/>
    </row>
    <row r="260" spans="1:2" ht="50" customHeight="1" x14ac:dyDescent="0.2">
      <c r="A260" s="21"/>
      <c r="B260" s="21"/>
    </row>
    <row r="261" spans="1:2" ht="50" customHeight="1" x14ac:dyDescent="0.2">
      <c r="A261" s="21"/>
      <c r="B261" s="21"/>
    </row>
    <row r="262" spans="1:2" ht="50" customHeight="1" x14ac:dyDescent="0.2">
      <c r="A262" s="21"/>
      <c r="B262" s="21"/>
    </row>
    <row r="263" spans="1:2" ht="50" customHeight="1" x14ac:dyDescent="0.2">
      <c r="A263" s="21"/>
      <c r="B263" s="21"/>
    </row>
    <row r="264" spans="1:2" ht="50" customHeight="1" x14ac:dyDescent="0.2">
      <c r="A264" s="21"/>
      <c r="B264" s="21"/>
    </row>
    <row r="265" spans="1:2" ht="50" customHeight="1" x14ac:dyDescent="0.2">
      <c r="A265" s="21"/>
      <c r="B265" s="21"/>
    </row>
    <row r="266" spans="1:2" ht="50" customHeight="1" x14ac:dyDescent="0.2">
      <c r="A266" s="21"/>
      <c r="B266" s="21"/>
    </row>
    <row r="267" spans="1:2" ht="50" customHeight="1" x14ac:dyDescent="0.2">
      <c r="A267" s="21"/>
      <c r="B267" s="21"/>
    </row>
    <row r="268" spans="1:2" ht="50" customHeight="1" x14ac:dyDescent="0.2">
      <c r="A268" s="21"/>
      <c r="B268" s="21"/>
    </row>
    <row r="269" spans="1:2" ht="50" customHeight="1" x14ac:dyDescent="0.2">
      <c r="A269" s="21"/>
      <c r="B269" s="21"/>
    </row>
    <row r="270" spans="1:2" ht="50" customHeight="1" x14ac:dyDescent="0.2">
      <c r="A270" s="21"/>
      <c r="B270" s="21"/>
    </row>
    <row r="271" spans="1:2" ht="50" customHeight="1" x14ac:dyDescent="0.2">
      <c r="A271" s="21"/>
      <c r="B271" s="21"/>
    </row>
    <row r="272" spans="1:2" ht="50" customHeight="1" x14ac:dyDescent="0.2">
      <c r="A272" s="21"/>
      <c r="B272" s="21"/>
    </row>
    <row r="273" spans="1:2" ht="50" customHeight="1" x14ac:dyDescent="0.2">
      <c r="A273" s="21"/>
      <c r="B273" s="21"/>
    </row>
    <row r="274" spans="1:2" ht="50" customHeight="1" x14ac:dyDescent="0.2">
      <c r="A274" s="21"/>
      <c r="B274" s="21"/>
    </row>
    <row r="275" spans="1:2" ht="50" customHeight="1" x14ac:dyDescent="0.2">
      <c r="A275" s="21"/>
      <c r="B275" s="21"/>
    </row>
    <row r="276" spans="1:2" ht="50" customHeight="1" x14ac:dyDescent="0.2">
      <c r="A276" s="21"/>
      <c r="B276" s="21"/>
    </row>
    <row r="277" spans="1:2" ht="50" customHeight="1" x14ac:dyDescent="0.2">
      <c r="A277" s="21"/>
      <c r="B277" s="21"/>
    </row>
    <row r="278" spans="1:2" ht="50" customHeight="1" x14ac:dyDescent="0.2">
      <c r="A278" s="21"/>
      <c r="B278" s="21"/>
    </row>
    <row r="279" spans="1:2" ht="50" customHeight="1" x14ac:dyDescent="0.2">
      <c r="A279" s="21"/>
      <c r="B279" s="21"/>
    </row>
    <row r="280" spans="1:2" ht="50" customHeight="1" x14ac:dyDescent="0.2">
      <c r="A280" s="21"/>
      <c r="B280" s="21"/>
    </row>
    <row r="281" spans="1:2" ht="50" customHeight="1" x14ac:dyDescent="0.2">
      <c r="A281" s="21"/>
      <c r="B281" s="21"/>
    </row>
    <row r="282" spans="1:2" ht="50" customHeight="1" x14ac:dyDescent="0.2">
      <c r="A282" s="21"/>
      <c r="B282" s="21"/>
    </row>
    <row r="283" spans="1:2" ht="50" customHeight="1" x14ac:dyDescent="0.2">
      <c r="A283" s="21"/>
      <c r="B283" s="21"/>
    </row>
    <row r="284" spans="1:2" ht="50" customHeight="1" x14ac:dyDescent="0.2">
      <c r="A284" s="21"/>
      <c r="B284" s="21"/>
    </row>
    <row r="285" spans="1:2" ht="50" customHeight="1" x14ac:dyDescent="0.2">
      <c r="A285" s="21"/>
      <c r="B285" s="21"/>
    </row>
    <row r="286" spans="1:2" ht="50" customHeight="1" x14ac:dyDescent="0.2">
      <c r="A286" s="21"/>
      <c r="B286" s="21"/>
    </row>
    <row r="287" spans="1:2" ht="50" customHeight="1" x14ac:dyDescent="0.2">
      <c r="A287" s="21"/>
      <c r="B287" s="21"/>
    </row>
    <row r="288" spans="1:2" ht="50" customHeight="1" x14ac:dyDescent="0.2">
      <c r="A288" s="21"/>
      <c r="B288" s="21"/>
    </row>
    <row r="289" spans="1:2" ht="50" customHeight="1" x14ac:dyDescent="0.2">
      <c r="A289" s="21"/>
      <c r="B289" s="21"/>
    </row>
    <row r="290" spans="1:2" ht="50" customHeight="1" x14ac:dyDescent="0.2">
      <c r="A290" s="21"/>
      <c r="B290" s="21"/>
    </row>
    <row r="291" spans="1:2" ht="50" customHeight="1" x14ac:dyDescent="0.2">
      <c r="A291" s="21"/>
      <c r="B291" s="21"/>
    </row>
    <row r="292" spans="1:2" ht="50" customHeight="1" x14ac:dyDescent="0.2">
      <c r="A292" s="21"/>
      <c r="B292" s="21"/>
    </row>
    <row r="293" spans="1:2" ht="50" customHeight="1" x14ac:dyDescent="0.2">
      <c r="A293" s="21"/>
      <c r="B293" s="21"/>
    </row>
    <row r="294" spans="1:2" ht="50" customHeight="1" x14ac:dyDescent="0.2">
      <c r="A294" s="21"/>
      <c r="B294" s="21"/>
    </row>
    <row r="295" spans="1:2" ht="50" customHeight="1" x14ac:dyDescent="0.2">
      <c r="A295" s="21"/>
      <c r="B295" s="21"/>
    </row>
    <row r="296" spans="1:2" ht="50" customHeight="1" x14ac:dyDescent="0.2">
      <c r="A296" s="21"/>
      <c r="B296" s="21"/>
    </row>
    <row r="297" spans="1:2" ht="50" customHeight="1" x14ac:dyDescent="0.2">
      <c r="A297" s="21"/>
      <c r="B297" s="21"/>
    </row>
    <row r="298" spans="1:2" ht="50" customHeight="1" x14ac:dyDescent="0.2">
      <c r="A298" s="21"/>
      <c r="B298" s="21"/>
    </row>
    <row r="299" spans="1:2" ht="50" customHeight="1" x14ac:dyDescent="0.2">
      <c r="A299" s="21"/>
      <c r="B299" s="21"/>
    </row>
    <row r="300" spans="1:2" ht="50" customHeight="1" x14ac:dyDescent="0.2">
      <c r="A300" s="21"/>
      <c r="B300" s="21"/>
    </row>
    <row r="301" spans="1:2" ht="50" customHeight="1" x14ac:dyDescent="0.2">
      <c r="A301" s="21"/>
      <c r="B301" s="21"/>
    </row>
    <row r="302" spans="1:2" ht="50" customHeight="1" x14ac:dyDescent="0.2">
      <c r="A302" s="21"/>
      <c r="B302" s="21"/>
    </row>
    <row r="303" spans="1:2" ht="50" customHeight="1" x14ac:dyDescent="0.2">
      <c r="A303" s="21"/>
      <c r="B303" s="21"/>
    </row>
    <row r="304" spans="1:2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  <row r="323" spans="1:2" ht="50" customHeight="1" x14ac:dyDescent="0.2">
      <c r="A323" s="21"/>
      <c r="B323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2" max="3" man="1"/>
    <brk id="120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09"/>
      <c r="G31" s="110"/>
      <c r="H31" s="110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2026-04-12T18:47:12Z</dcterms:modified>
</cp:coreProperties>
</file>