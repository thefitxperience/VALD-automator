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554261D6-4A92-6540-9F48-C3C7F1B9584B}" xr6:coauthVersionLast="47" xr6:coauthVersionMax="47" xr10:uidLastSave="{00000000-0000-0000-0000-000000000000}"/>
  <bookViews>
    <workbookView xWindow="-20" yWindow="620" windowWidth="28820" windowHeight="1580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Al Rawdah" sheetId="40" r:id="rId28"/>
    <sheet name="JED - Makkah" sheetId="1" r:id="rId29"/>
    <sheet name="JED - Obhor - Al Amwaj" sheetId="7" r:id="rId30"/>
    <sheet name="JED - Obhor - Al Sheraa" sheetId="53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7">'JED - Al Rawdah'!$B$1:$H$18</definedName>
    <definedName name="_xlnm.Print_Area" localSheetId="26">'JED - Hamadania'!$B$1:$H$18</definedName>
    <definedName name="_xlnm.Print_Area" localSheetId="28">'JED - Makkah'!$B$1:$H$18</definedName>
    <definedName name="_xlnm.Print_Area" localSheetId="29">'JED - Obhor - Al Amwaj'!$B$1:$H$18</definedName>
    <definedName name="_xlnm.Print_Area" localSheetId="30">'JED - Obhor - Al Sheraa'!$B$1:$H$18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REPORT!$A$1:$D$208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3" l="1"/>
  <c r="D3" i="52"/>
  <c r="C223" i="30"/>
  <c r="D223" i="30" a="1"/>
  <c r="C224" i="30"/>
  <c r="D224" i="30" a="1"/>
  <c r="C71" i="30"/>
  <c r="D71" i="30" a="1"/>
  <c r="C142" i="30"/>
  <c r="D142" i="30" a="1"/>
  <c r="C226" i="30"/>
  <c r="D228" i="30" a="1"/>
  <c r="B38" i="46"/>
  <c r="D226" i="30" a="1"/>
  <c r="C230" i="30"/>
  <c r="B18" i="46"/>
  <c r="D229" i="30" a="1"/>
  <c r="C130" i="30"/>
  <c r="D222" i="30" a="1"/>
  <c r="B19" i="46"/>
  <c r="D232" i="30" a="1"/>
  <c r="C35" i="46" a="1"/>
  <c r="B25" i="46"/>
  <c r="B33" i="46"/>
  <c r="B7" i="46"/>
  <c r="B36" i="46"/>
  <c r="B12" i="46"/>
  <c r="C225" i="30"/>
  <c r="B22" i="46"/>
  <c r="D225" i="30" a="1"/>
  <c r="B41" i="46"/>
  <c r="B47" i="46"/>
  <c r="D131" i="30" a="1"/>
  <c r="B26" i="46"/>
  <c r="B13" i="46"/>
  <c r="B28" i="46"/>
  <c r="B14" i="46"/>
  <c r="D130" i="30" a="1"/>
  <c r="D233" i="30" a="1"/>
  <c r="C229" i="30"/>
  <c r="B27" i="46"/>
  <c r="C227" i="30"/>
  <c r="B46" i="46"/>
  <c r="B29" i="46"/>
  <c r="B9" i="46"/>
  <c r="B24" i="46"/>
  <c r="B8" i="46"/>
  <c r="B21" i="46"/>
  <c r="B32" i="46"/>
  <c r="B42" i="46"/>
  <c r="B20" i="46"/>
  <c r="B44" i="46"/>
  <c r="B35" i="46"/>
  <c r="B48" i="46"/>
  <c r="B31" i="46"/>
  <c r="B45" i="46"/>
  <c r="C131" i="30"/>
  <c r="B11" i="46"/>
  <c r="C233" i="30"/>
  <c r="B37" i="46"/>
  <c r="B34" i="46"/>
  <c r="B17" i="46"/>
  <c r="B43" i="46"/>
  <c r="C222" i="30"/>
  <c r="B30" i="46"/>
  <c r="B16" i="46"/>
  <c r="B39" i="46"/>
  <c r="B23" i="46"/>
  <c r="B15" i="46"/>
  <c r="C228" i="30"/>
  <c r="C231" i="30"/>
  <c r="D230" i="30" a="1"/>
  <c r="C232" i="30"/>
  <c r="B40" i="46"/>
  <c r="B10" i="46"/>
  <c r="D227" i="30" a="1"/>
  <c r="D231" i="30" a="1"/>
  <c r="D224" i="30" l="1"/>
  <c r="D223" i="30"/>
  <c r="D71" i="30"/>
  <c r="D142" i="30"/>
  <c r="D233" i="30"/>
  <c r="D225" i="30"/>
  <c r="D232" i="30"/>
  <c r="D226" i="30"/>
  <c r="D230" i="30"/>
  <c r="D229" i="30"/>
  <c r="D222" i="30"/>
  <c r="D227" i="30"/>
  <c r="D231" i="30"/>
  <c r="D228" i="30"/>
  <c r="C35" i="46"/>
  <c r="D35" i="46" s="1"/>
  <c r="D131" i="30"/>
  <c r="D130" i="30"/>
  <c r="D3" i="50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3" i="32" l="1"/>
  <c r="D3" i="23"/>
  <c r="D3" i="16" l="1"/>
  <c r="D3" i="27" l="1"/>
  <c r="D3" i="24" l="1"/>
  <c r="D3" i="22" l="1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241" i="30" a="1"/>
  <c r="C244" i="30"/>
  <c r="C39" i="30"/>
  <c r="C128" i="30"/>
  <c r="C53" i="30"/>
  <c r="C107" i="30"/>
  <c r="C47" i="30"/>
  <c r="D80" i="30" a="1"/>
  <c r="D243" i="30" a="1"/>
  <c r="C46" i="30"/>
  <c r="D307" i="30" a="1"/>
  <c r="C79" i="30"/>
  <c r="D47" i="30" a="1"/>
  <c r="D152" i="30" a="1"/>
  <c r="C63" i="30"/>
  <c r="C252" i="30"/>
  <c r="D7" i="30" a="1"/>
  <c r="D190" i="30" a="1"/>
  <c r="D52" i="30" a="1"/>
  <c r="C88" i="30"/>
  <c r="C49" i="30"/>
  <c r="D57" i="30" a="1"/>
  <c r="C251" i="30"/>
  <c r="C178" i="30"/>
  <c r="C43" i="30"/>
  <c r="D145" i="30" a="1"/>
  <c r="D106" i="30" a="1"/>
  <c r="D295" i="30" a="1"/>
  <c r="D161" i="30" a="1"/>
  <c r="C36" i="46" a="1"/>
  <c r="D183" i="30" a="1"/>
  <c r="D126" i="30" a="1"/>
  <c r="C129" i="30"/>
  <c r="C188" i="30"/>
  <c r="D105" i="30" a="1"/>
  <c r="D31" i="30" a="1"/>
  <c r="C133" i="30"/>
  <c r="D125" i="30" a="1"/>
  <c r="C286" i="30"/>
  <c r="C255" i="30"/>
  <c r="D270" i="30" a="1"/>
  <c r="D198" i="30" a="1"/>
  <c r="C9" i="46" a="1"/>
  <c r="D197" i="30" a="1"/>
  <c r="C143" i="30"/>
  <c r="C199" i="30"/>
  <c r="C218" i="30"/>
  <c r="C116" i="30"/>
  <c r="C260" i="30"/>
  <c r="C259" i="30"/>
  <c r="D87" i="30" a="1"/>
  <c r="C269" i="30"/>
  <c r="C171" i="30"/>
  <c r="C277" i="30"/>
  <c r="C31" i="30"/>
  <c r="D186" i="30" a="1"/>
  <c r="C190" i="30"/>
  <c r="D283" i="30" a="1"/>
  <c r="D8" i="30" a="1"/>
  <c r="D277" i="30" a="1"/>
  <c r="D135" i="30" a="1"/>
  <c r="C296" i="30"/>
  <c r="C176" i="30"/>
  <c r="D176" i="30" a="1"/>
  <c r="C217" i="30"/>
  <c r="C8" i="30"/>
  <c r="C42" i="30"/>
  <c r="D162" i="30" a="1"/>
  <c r="C153" i="30"/>
  <c r="C181" i="30"/>
  <c r="D160" i="30" a="1"/>
  <c r="D143" i="30" a="1"/>
  <c r="D184" i="30" a="1"/>
  <c r="C289" i="30"/>
  <c r="D139" i="30" a="1"/>
  <c r="C68" i="30"/>
  <c r="D219" i="30" a="1"/>
  <c r="D170" i="30" a="1"/>
  <c r="D310" i="30" a="1"/>
  <c r="D94" i="30" a="1"/>
  <c r="D73" i="30" a="1"/>
  <c r="D14" i="30" a="1"/>
  <c r="C194" i="30"/>
  <c r="D153" i="30" a="1"/>
  <c r="D60" i="30" a="1"/>
  <c r="C305" i="30"/>
  <c r="D11" i="30" a="1"/>
  <c r="C308" i="30"/>
  <c r="D203" i="30" a="1"/>
  <c r="C196" i="30"/>
  <c r="D207" i="30" a="1"/>
  <c r="C237" i="30"/>
  <c r="C101" i="30"/>
  <c r="D119" i="30" a="1"/>
  <c r="C148" i="30"/>
  <c r="D50" i="30" a="1"/>
  <c r="C288" i="30"/>
  <c r="D246" i="30" a="1"/>
  <c r="C211" i="30"/>
  <c r="C309" i="30"/>
  <c r="D211" i="30" a="1"/>
  <c r="C281" i="30"/>
  <c r="C198" i="30"/>
  <c r="D220" i="30" a="1"/>
  <c r="C13" i="30"/>
  <c r="D175" i="30" a="1"/>
  <c r="D124" i="30" a="1"/>
  <c r="D287" i="30" a="1"/>
  <c r="C160" i="30"/>
  <c r="C91" i="30"/>
  <c r="C301" i="30"/>
  <c r="D17" i="30" a="1"/>
  <c r="C280" i="30"/>
  <c r="D279" i="30" a="1"/>
  <c r="D215" i="30" a="1"/>
  <c r="C85" i="30"/>
  <c r="D238" i="30" a="1"/>
  <c r="D291" i="30" a="1"/>
  <c r="C250" i="30"/>
  <c r="D308" i="30" a="1"/>
  <c r="C108" i="30"/>
  <c r="D43" i="30" a="1"/>
  <c r="D75" i="30" a="1"/>
  <c r="C112" i="30"/>
  <c r="D273" i="30" a="1"/>
  <c r="C246" i="30"/>
  <c r="C37" i="30"/>
  <c r="C283" i="30"/>
  <c r="D301" i="30" a="1"/>
  <c r="D263" i="30" a="1"/>
  <c r="C66" i="30"/>
  <c r="D302" i="30" a="1"/>
  <c r="D109" i="30" a="1"/>
  <c r="C121" i="30"/>
  <c r="C161" i="30"/>
  <c r="C114" i="30"/>
  <c r="D13" i="30" a="1"/>
  <c r="D275" i="30" a="1"/>
  <c r="C16" i="46" a="1"/>
  <c r="D276" i="30" a="1"/>
  <c r="C139" i="30"/>
  <c r="C28" i="30"/>
  <c r="C29" i="30"/>
  <c r="C132" i="30"/>
  <c r="C11" i="46" a="1"/>
  <c r="C261" i="30"/>
  <c r="C203" i="30"/>
  <c r="C99" i="30"/>
  <c r="C274" i="30"/>
  <c r="C186" i="30"/>
  <c r="C300" i="30"/>
  <c r="D216" i="30" a="1"/>
  <c r="D16" i="30" a="1"/>
  <c r="D70" i="30" a="1"/>
  <c r="D166" i="30" a="1"/>
  <c r="D199" i="30" a="1"/>
  <c r="C52" i="30"/>
  <c r="C140" i="30"/>
  <c r="C311" i="30"/>
  <c r="D41" i="30" a="1"/>
  <c r="D242" i="30" a="1"/>
  <c r="D157" i="30" a="1"/>
  <c r="D272" i="30" a="1"/>
  <c r="D150" i="30" a="1"/>
  <c r="D254" i="30" a="1"/>
  <c r="D312" i="30" a="1"/>
  <c r="C45" i="46" a="1"/>
  <c r="D28" i="30" a="1"/>
  <c r="C120" i="30"/>
  <c r="C27" i="30"/>
  <c r="D112" i="30" a="1"/>
  <c r="D297" i="30" a="1"/>
  <c r="C73" i="30"/>
  <c r="C9" i="30"/>
  <c r="C189" i="30"/>
  <c r="D149" i="30" a="1"/>
  <c r="D249" i="30" a="1"/>
  <c r="D174" i="30" a="1"/>
  <c r="D138" i="30" a="1"/>
  <c r="C146" i="30"/>
  <c r="C235" i="30"/>
  <c r="D257" i="30" a="1"/>
  <c r="C159" i="30"/>
  <c r="D10" i="30" a="1"/>
  <c r="D118" i="30" a="1"/>
  <c r="C26" i="30"/>
  <c r="C78" i="30"/>
  <c r="C164" i="30"/>
  <c r="D311" i="30" a="1"/>
  <c r="D280" i="30" a="1"/>
  <c r="C113" i="30"/>
  <c r="D258" i="30" a="1"/>
  <c r="D129" i="30" a="1"/>
  <c r="D179" i="30" a="1"/>
  <c r="C93" i="30"/>
  <c r="C44" i="30"/>
  <c r="C236" i="30"/>
  <c r="D48" i="30" a="1"/>
  <c r="C110" i="30"/>
  <c r="C134" i="30"/>
  <c r="C80" i="30"/>
  <c r="D26" i="30" a="1"/>
  <c r="C166" i="30"/>
  <c r="C272" i="30"/>
  <c r="C74" i="30"/>
  <c r="D168" i="30" a="1"/>
  <c r="C180" i="30"/>
  <c r="D111" i="30" a="1"/>
  <c r="C177" i="30"/>
  <c r="C209" i="30"/>
  <c r="D69" i="30" a="1"/>
  <c r="C204" i="30"/>
  <c r="C136" i="30"/>
  <c r="D293" i="30" a="1"/>
  <c r="C37" i="46" a="1"/>
  <c r="D63" i="30" a="1"/>
  <c r="C168" i="30"/>
  <c r="D235" i="30" a="1"/>
  <c r="C149" i="30"/>
  <c r="C59" i="30"/>
  <c r="C157" i="30"/>
  <c r="C69" i="30"/>
  <c r="C173" i="30"/>
  <c r="C292" i="30"/>
  <c r="C122" i="30"/>
  <c r="D164" i="30" a="1"/>
  <c r="C191" i="30"/>
  <c r="C106" i="30"/>
  <c r="C46" i="46" a="1"/>
  <c r="D110" i="30" a="1"/>
  <c r="D99" i="30" a="1"/>
  <c r="C13" i="46" a="1"/>
  <c r="D66" i="30" a="1"/>
  <c r="C38" i="46" a="1"/>
  <c r="C23" i="30"/>
  <c r="D260" i="30" a="1"/>
  <c r="C214" i="30"/>
  <c r="C103" i="30"/>
  <c r="D81" i="30" a="1"/>
  <c r="D76" i="30" a="1"/>
  <c r="C32" i="30"/>
  <c r="D72" i="30" a="1"/>
  <c r="C109" i="30"/>
  <c r="D59" i="30" a="1"/>
  <c r="C84" i="30"/>
  <c r="D267" i="30" a="1"/>
  <c r="C135" i="30"/>
  <c r="C179" i="30"/>
  <c r="D264" i="30" a="1"/>
  <c r="C76" i="30"/>
  <c r="C287" i="30"/>
  <c r="D49" i="30" a="1"/>
  <c r="C137" i="30"/>
  <c r="D102" i="30" a="1"/>
  <c r="D88" i="30" a="1"/>
  <c r="C70" i="30"/>
  <c r="C294" i="30"/>
  <c r="D189" i="30" a="1"/>
  <c r="C47" i="46" a="1"/>
  <c r="D115" i="30" a="1"/>
  <c r="C21" i="30"/>
  <c r="C197" i="30"/>
  <c r="D192" i="30" a="1"/>
  <c r="C210" i="30"/>
  <c r="D217" i="30" a="1"/>
  <c r="D195" i="30" a="1"/>
  <c r="C220" i="30"/>
  <c r="C123" i="30"/>
  <c r="C51" i="30"/>
  <c r="D92" i="30" a="1"/>
  <c r="C100" i="30"/>
  <c r="D24" i="30" a="1"/>
  <c r="D19" i="30" a="1"/>
  <c r="D91" i="30" a="1"/>
  <c r="D141" i="30" a="1"/>
  <c r="C184" i="30"/>
  <c r="C170" i="30"/>
  <c r="D67" i="30" a="1"/>
  <c r="C48" i="30"/>
  <c r="C56" i="30"/>
  <c r="D61" i="30" a="1"/>
  <c r="C268" i="30"/>
  <c r="C55" i="30"/>
  <c r="C257" i="30"/>
  <c r="D244" i="30" a="1"/>
  <c r="D290" i="30" a="1"/>
  <c r="C34" i="30"/>
  <c r="C7" i="46" a="1"/>
  <c r="C278" i="30"/>
  <c r="D271" i="30" a="1"/>
  <c r="D123" i="30" a="1"/>
  <c r="C163" i="30"/>
  <c r="C182" i="30"/>
  <c r="C17" i="46" a="1"/>
  <c r="C90" i="30"/>
  <c r="D58" i="30" a="1"/>
  <c r="C11" i="30"/>
  <c r="D136" i="30" a="1"/>
  <c r="C12" i="46" a="1"/>
  <c r="D46" i="30" a="1"/>
  <c r="D12" i="30" a="1"/>
  <c r="C95" i="30"/>
  <c r="D278" i="30" a="1"/>
  <c r="C41" i="30"/>
  <c r="D255" i="30" a="1"/>
  <c r="C192" i="30"/>
  <c r="C10" i="46" a="1"/>
  <c r="D304" i="30" a="1"/>
  <c r="D29" i="30" a="1"/>
  <c r="C57" i="30"/>
  <c r="D253" i="30" a="1"/>
  <c r="D133" i="30" a="1"/>
  <c r="C267" i="30"/>
  <c r="D268" i="30" a="1"/>
  <c r="D90" i="30" a="1"/>
  <c r="D269" i="30" a="1"/>
  <c r="D185" i="30" a="1"/>
  <c r="D79" i="30" a="1"/>
  <c r="C271" i="30"/>
  <c r="C207" i="30"/>
  <c r="C54" i="30"/>
  <c r="D248" i="30" a="1"/>
  <c r="D44" i="30" a="1"/>
  <c r="C124" i="30"/>
  <c r="C241" i="30"/>
  <c r="C175" i="30"/>
  <c r="C205" i="30"/>
  <c r="C213" i="30"/>
  <c r="D98" i="30" a="1"/>
  <c r="C97" i="30"/>
  <c r="C18" i="30"/>
  <c r="D39" i="30" a="1"/>
  <c r="C304" i="30"/>
  <c r="C284" i="30"/>
  <c r="D103" i="30" a="1"/>
  <c r="C96" i="30"/>
  <c r="D309" i="30" a="1"/>
  <c r="D137" i="30" a="1"/>
  <c r="D240" i="30" a="1"/>
  <c r="C216" i="30"/>
  <c r="C245" i="30"/>
  <c r="D237" i="30" a="1"/>
  <c r="C183" i="30"/>
  <c r="C36" i="30"/>
  <c r="C41" i="46" a="1"/>
  <c r="D97" i="30" a="1"/>
  <c r="C58" i="30"/>
  <c r="D144" i="30" a="1"/>
  <c r="C8" i="46" a="1"/>
  <c r="C147" i="30"/>
  <c r="D64" i="30" a="1"/>
  <c r="C187" i="30"/>
  <c r="C154" i="30"/>
  <c r="D282" i="30" a="1"/>
  <c r="C215" i="30"/>
  <c r="C291" i="30"/>
  <c r="C19" i="30"/>
  <c r="C119" i="30"/>
  <c r="C126" i="30"/>
  <c r="D27" i="30" a="1"/>
  <c r="D100" i="30" a="1"/>
  <c r="C72" i="30"/>
  <c r="D294" i="30" a="1"/>
  <c r="D104" i="30" a="1"/>
  <c r="C298" i="30"/>
  <c r="D155" i="30" a="1"/>
  <c r="D30" i="30" a="1"/>
  <c r="C118" i="30"/>
  <c r="D259" i="30" a="1"/>
  <c r="D204" i="30" a="1"/>
  <c r="C155" i="30"/>
  <c r="C48" i="46" a="1"/>
  <c r="D113" i="30" a="1"/>
  <c r="D262" i="30" a="1"/>
  <c r="C243" i="30"/>
  <c r="C65" i="30"/>
  <c r="D214" i="30" a="1"/>
  <c r="C14" i="46" a="1"/>
  <c r="C206" i="30"/>
  <c r="C242" i="30"/>
  <c r="C92" i="30"/>
  <c r="D65" i="30" a="1"/>
  <c r="C12" i="30"/>
  <c r="C17" i="30"/>
  <c r="C86" i="30"/>
  <c r="C98" i="30"/>
  <c r="C262" i="30"/>
  <c r="D114" i="30" a="1"/>
  <c r="D140" i="30" a="1"/>
  <c r="C141" i="30"/>
  <c r="C240" i="30"/>
  <c r="D171" i="30" a="1"/>
  <c r="C115" i="30"/>
  <c r="D18" i="30" a="1"/>
  <c r="D181" i="30" a="1"/>
  <c r="C310" i="30"/>
  <c r="C152" i="30"/>
  <c r="D286" i="30" a="1"/>
  <c r="C253" i="30"/>
  <c r="D120" i="30" a="1"/>
  <c r="C16" i="30"/>
  <c r="D299" i="30" a="1"/>
  <c r="C81" i="30"/>
  <c r="C138" i="30"/>
  <c r="D86" i="30" a="1"/>
  <c r="D188" i="30" a="1"/>
  <c r="D209" i="30" a="1"/>
  <c r="D15" i="30" a="1"/>
  <c r="D68" i="30" a="1"/>
  <c r="C10" i="30"/>
  <c r="D37" i="30" a="1"/>
  <c r="D23" i="30" a="1"/>
  <c r="D78" i="30" a="1"/>
  <c r="D165" i="30" a="1"/>
  <c r="C270" i="30"/>
  <c r="C15" i="30"/>
  <c r="C195" i="30"/>
  <c r="D303" i="30" a="1"/>
  <c r="C299" i="30"/>
  <c r="C276" i="30"/>
  <c r="C127" i="30"/>
  <c r="D172" i="30" a="1"/>
  <c r="C285" i="30"/>
  <c r="D212" i="30" a="1"/>
  <c r="C297" i="30"/>
  <c r="C295" i="30"/>
  <c r="D252" i="30" a="1"/>
  <c r="D121" i="30" a="1"/>
  <c r="C201" i="30"/>
  <c r="C83" i="30"/>
  <c r="C33" i="30"/>
  <c r="D108" i="30" a="1"/>
  <c r="D178" i="30" a="1"/>
  <c r="D202" i="30" a="1"/>
  <c r="D194" i="30" a="1"/>
  <c r="C302" i="30"/>
  <c r="C102" i="30"/>
  <c r="C282" i="30"/>
  <c r="C44" i="46" a="1"/>
  <c r="D234" i="30" a="1"/>
  <c r="D56" i="30" a="1"/>
  <c r="D196" i="30" a="1"/>
  <c r="C200" i="30"/>
  <c r="D193" i="30" a="1"/>
  <c r="C117" i="30"/>
  <c r="D169" i="30" a="1"/>
  <c r="D62" i="30" a="1"/>
  <c r="D285" i="30" a="1"/>
  <c r="D205" i="30" a="1"/>
  <c r="C145" i="30"/>
  <c r="C105" i="30"/>
  <c r="C89" i="30"/>
  <c r="D84" i="30" a="1"/>
  <c r="D274" i="30" a="1"/>
  <c r="D251" i="30" a="1"/>
  <c r="C193" i="30"/>
  <c r="D218" i="30" a="1"/>
  <c r="C30" i="30"/>
  <c r="D54" i="30" a="1"/>
  <c r="D305" i="30" a="1"/>
  <c r="C156" i="30"/>
  <c r="D245" i="30" a="1"/>
  <c r="D25" i="30" a="1"/>
  <c r="C32" i="46" a="1"/>
  <c r="C111" i="30"/>
  <c r="C290" i="30"/>
  <c r="D38" i="30" a="1"/>
  <c r="C212" i="30"/>
  <c r="D20" i="30" a="1"/>
  <c r="C165" i="30"/>
  <c r="C256" i="30"/>
  <c r="C45" i="30"/>
  <c r="C82" i="30"/>
  <c r="D288" i="30" a="1"/>
  <c r="C22" i="30"/>
  <c r="D151" i="30" a="1"/>
  <c r="D122" i="30" a="1"/>
  <c r="D298" i="30" a="1"/>
  <c r="D247" i="30" a="1"/>
  <c r="D250" i="30" a="1"/>
  <c r="C61" i="30"/>
  <c r="C248" i="30"/>
  <c r="C249" i="30"/>
  <c r="C35" i="30"/>
  <c r="C264" i="30"/>
  <c r="C75" i="30"/>
  <c r="D127" i="30" a="1"/>
  <c r="D208" i="30" a="1"/>
  <c r="D156" i="30" a="1"/>
  <c r="D132" i="30" a="1"/>
  <c r="C306" i="30"/>
  <c r="C87" i="30"/>
  <c r="D147" i="30" a="1"/>
  <c r="D77" i="30" a="1"/>
  <c r="C279" i="30"/>
  <c r="C167" i="30"/>
  <c r="D116" i="30" a="1"/>
  <c r="C38" i="30"/>
  <c r="C275" i="30"/>
  <c r="D177" i="30" a="1"/>
  <c r="D180" i="30" a="1"/>
  <c r="C158" i="30"/>
  <c r="D45" i="30" a="1"/>
  <c r="D34" i="30" a="1"/>
  <c r="D300" i="30" a="1"/>
  <c r="C273" i="30"/>
  <c r="D159" i="30" a="1"/>
  <c r="C77" i="30"/>
  <c r="C67" i="30"/>
  <c r="D146" i="30" a="1"/>
  <c r="D289" i="30" a="1"/>
  <c r="C150" i="30"/>
  <c r="C265" i="30"/>
  <c r="C104" i="30"/>
  <c r="C40" i="30"/>
  <c r="D221" i="30" a="1"/>
  <c r="C234" i="30"/>
  <c r="C239" i="30"/>
  <c r="D213" i="30" a="1"/>
  <c r="D85" i="30" a="1"/>
  <c r="D35" i="30" a="1"/>
  <c r="C25" i="30"/>
  <c r="C263" i="30"/>
  <c r="D40" i="30" a="1"/>
  <c r="C293" i="30"/>
  <c r="C20" i="30"/>
  <c r="D158" i="30" a="1"/>
  <c r="C64" i="30"/>
  <c r="D173" i="30" a="1"/>
  <c r="D210" i="30" a="1"/>
  <c r="D82" i="30" a="1"/>
  <c r="D206" i="30" a="1"/>
  <c r="C50" i="30"/>
  <c r="C62" i="30"/>
  <c r="D239" i="30" a="1"/>
  <c r="C258" i="30"/>
  <c r="D89" i="30" a="1"/>
  <c r="D261" i="30" a="1"/>
  <c r="D101" i="30" a="1"/>
  <c r="D167" i="30" a="1"/>
  <c r="D163" i="30" a="1"/>
  <c r="D93" i="30" a="1"/>
  <c r="D201" i="30" a="1"/>
  <c r="D33" i="30" a="1"/>
  <c r="D53" i="30" a="1"/>
  <c r="D265" i="30" a="1"/>
  <c r="D36" i="30" a="1"/>
  <c r="D148" i="30" a="1"/>
  <c r="D21" i="30" a="1"/>
  <c r="D306" i="30" a="1"/>
  <c r="D256" i="30" a="1"/>
  <c r="C238" i="30"/>
  <c r="D200" i="30" a="1"/>
  <c r="D296" i="30" a="1"/>
  <c r="D236" i="30" a="1"/>
  <c r="D55" i="30" a="1"/>
  <c r="C94" i="30"/>
  <c r="C43" i="46" a="1"/>
  <c r="C15" i="46" a="1"/>
  <c r="D96" i="30" a="1"/>
  <c r="C221" i="30"/>
  <c r="C202" i="30"/>
  <c r="D117" i="30" a="1"/>
  <c r="C247" i="30"/>
  <c r="D292" i="30" a="1"/>
  <c r="C125" i="30"/>
  <c r="C60" i="30"/>
  <c r="D74" i="30" a="1"/>
  <c r="C307" i="30"/>
  <c r="C7" i="30"/>
  <c r="D191" i="30" a="1"/>
  <c r="D128" i="30" a="1"/>
  <c r="D9" i="30" a="1"/>
  <c r="C219" i="30"/>
  <c r="D187" i="30" a="1"/>
  <c r="C172" i="30"/>
  <c r="C208" i="30"/>
  <c r="C185" i="30"/>
  <c r="C144" i="30"/>
  <c r="C162" i="30"/>
  <c r="D154" i="30" a="1"/>
  <c r="D107" i="30" a="1"/>
  <c r="D95" i="30" a="1"/>
  <c r="C24" i="30"/>
  <c r="D182" i="30" a="1"/>
  <c r="C266" i="30"/>
  <c r="D51" i="30" a="1"/>
  <c r="C169" i="30"/>
  <c r="D32" i="30" a="1"/>
  <c r="C254" i="30"/>
  <c r="C303" i="30"/>
  <c r="D281" i="30" a="1"/>
  <c r="C174" i="30"/>
  <c r="C312" i="30"/>
  <c r="C20" i="46" a="1"/>
  <c r="D284" i="30" a="1"/>
  <c r="C151" i="30"/>
  <c r="D42" i="30" a="1"/>
  <c r="D83" i="30" a="1"/>
  <c r="D266" i="30" a="1"/>
  <c r="C14" i="30"/>
  <c r="D134" i="30" a="1"/>
  <c r="D22" i="30" a="1"/>
  <c r="C30" i="46" a="1"/>
  <c r="C34" i="46" a="1"/>
  <c r="C24" i="46" a="1"/>
  <c r="C31" i="46" a="1"/>
  <c r="C25" i="46" a="1"/>
  <c r="C42" i="46" a="1"/>
  <c r="C19" i="46" a="1"/>
  <c r="C18" i="46" a="1"/>
  <c r="C29" i="46" a="1"/>
  <c r="C22" i="46" a="1"/>
  <c r="C23" i="46" a="1"/>
  <c r="C28" i="46" a="1"/>
  <c r="C26" i="46" a="1"/>
  <c r="C27" i="46" a="1"/>
  <c r="C40" i="46" a="1"/>
  <c r="C39" i="46" a="1"/>
  <c r="D22" i="30" l="1"/>
  <c r="D134" i="30"/>
  <c r="D266" i="30"/>
  <c r="D83" i="30"/>
  <c r="D42" i="30"/>
  <c r="D284" i="30"/>
  <c r="C20" i="46"/>
  <c r="D20" i="46" s="1"/>
  <c r="D281" i="30"/>
  <c r="D32" i="30"/>
  <c r="D51" i="30"/>
  <c r="D182" i="30"/>
  <c r="D95" i="30"/>
  <c r="D107" i="30"/>
  <c r="D154" i="30"/>
  <c r="D187" i="30"/>
  <c r="D9" i="30"/>
  <c r="D128" i="30"/>
  <c r="D191" i="30"/>
  <c r="D74" i="30"/>
  <c r="D292" i="30"/>
  <c r="D117" i="30"/>
  <c r="D96" i="30"/>
  <c r="C15" i="46"/>
  <c r="D15" i="46" s="1"/>
  <c r="C43" i="46"/>
  <c r="D43" i="46" s="1"/>
  <c r="D55" i="30"/>
  <c r="D236" i="30"/>
  <c r="D296" i="30"/>
  <c r="D200" i="30"/>
  <c r="D256" i="30"/>
  <c r="D306" i="30"/>
  <c r="D21" i="30"/>
  <c r="D148" i="30"/>
  <c r="D36" i="30"/>
  <c r="D265" i="30"/>
  <c r="D53" i="30"/>
  <c r="D33" i="30"/>
  <c r="D201" i="30"/>
  <c r="D93" i="30"/>
  <c r="D163" i="30"/>
  <c r="D167" i="30"/>
  <c r="D101" i="30"/>
  <c r="D261" i="30"/>
  <c r="D89" i="30"/>
  <c r="D239" i="30"/>
  <c r="D206" i="30"/>
  <c r="D82" i="30"/>
  <c r="D210" i="30"/>
  <c r="D173" i="30"/>
  <c r="D158" i="30"/>
  <c r="D40" i="30"/>
  <c r="D35" i="30"/>
  <c r="D85" i="30"/>
  <c r="D213" i="30"/>
  <c r="D221" i="30"/>
  <c r="D289" i="30"/>
  <c r="D146" i="30"/>
  <c r="D159" i="30"/>
  <c r="D300" i="30"/>
  <c r="D34" i="30"/>
  <c r="D45" i="30"/>
  <c r="D180" i="30"/>
  <c r="D177" i="30"/>
  <c r="D116" i="30"/>
  <c r="D77" i="30"/>
  <c r="D147" i="30"/>
  <c r="D132" i="30"/>
  <c r="D156" i="30"/>
  <c r="D208" i="30"/>
  <c r="D127" i="30"/>
  <c r="D250" i="30"/>
  <c r="D247" i="30"/>
  <c r="D298" i="30"/>
  <c r="D122" i="30"/>
  <c r="D151" i="30"/>
  <c r="D288" i="30"/>
  <c r="D20" i="30"/>
  <c r="D38" i="30"/>
  <c r="C32" i="46"/>
  <c r="D32" i="46" s="1"/>
  <c r="D25" i="30"/>
  <c r="D245" i="30"/>
  <c r="D305" i="30"/>
  <c r="D54" i="30"/>
  <c r="D218" i="30"/>
  <c r="D251" i="30"/>
  <c r="D274" i="30"/>
  <c r="D84" i="30"/>
  <c r="D205" i="30"/>
  <c r="D285" i="30"/>
  <c r="D62" i="30"/>
  <c r="D169" i="30"/>
  <c r="D193" i="30"/>
  <c r="D196" i="30"/>
  <c r="D56" i="30"/>
  <c r="D234" i="30"/>
  <c r="C44" i="46"/>
  <c r="D44" i="46" s="1"/>
  <c r="D194" i="30"/>
  <c r="D202" i="30"/>
  <c r="D178" i="30"/>
  <c r="D108" i="30"/>
  <c r="D121" i="30"/>
  <c r="D252" i="30"/>
  <c r="D212" i="30"/>
  <c r="D172" i="30"/>
  <c r="D303" i="30"/>
  <c r="D165" i="30"/>
  <c r="D78" i="30"/>
  <c r="D23" i="30"/>
  <c r="D37" i="30"/>
  <c r="D68" i="30"/>
  <c r="D15" i="30"/>
  <c r="D209" i="30"/>
  <c r="D188" i="30"/>
  <c r="D86" i="30"/>
  <c r="D299" i="30"/>
  <c r="D120" i="30"/>
  <c r="D286" i="30"/>
  <c r="D181" i="30"/>
  <c r="D18" i="30"/>
  <c r="D171" i="30"/>
  <c r="D140" i="30"/>
  <c r="D114" i="30"/>
  <c r="D65" i="30"/>
  <c r="C14" i="46"/>
  <c r="D14" i="46" s="1"/>
  <c r="D214" i="30"/>
  <c r="D262" i="30"/>
  <c r="D113" i="30"/>
  <c r="C48" i="46"/>
  <c r="D48" i="46" s="1"/>
  <c r="D204" i="30"/>
  <c r="D259" i="30"/>
  <c r="D30" i="30"/>
  <c r="D155" i="30"/>
  <c r="D104" i="30"/>
  <c r="D294" i="30"/>
  <c r="D100" i="30"/>
  <c r="D27" i="30"/>
  <c r="D282" i="30"/>
  <c r="D64" i="30"/>
  <c r="C8" i="46"/>
  <c r="D8" i="46" s="1"/>
  <c r="D144" i="30"/>
  <c r="D97" i="30"/>
  <c r="C41" i="46"/>
  <c r="D41" i="46" s="1"/>
  <c r="D237" i="30"/>
  <c r="D240" i="30"/>
  <c r="D137" i="30"/>
  <c r="D309" i="30"/>
  <c r="D103" i="30"/>
  <c r="D39" i="30"/>
  <c r="D98" i="30"/>
  <c r="D44" i="30"/>
  <c r="D248" i="30"/>
  <c r="D79" i="30"/>
  <c r="D185" i="30"/>
  <c r="D269" i="30"/>
  <c r="D90" i="30"/>
  <c r="D268" i="30"/>
  <c r="D133" i="30"/>
  <c r="D253" i="30"/>
  <c r="D29" i="30"/>
  <c r="D304" i="30"/>
  <c r="C10" i="46"/>
  <c r="D10" i="46" s="1"/>
  <c r="D255" i="30"/>
  <c r="D278" i="30"/>
  <c r="D12" i="30"/>
  <c r="D46" i="30"/>
  <c r="C12" i="46"/>
  <c r="D12" i="46" s="1"/>
  <c r="D136" i="30"/>
  <c r="D58" i="30"/>
  <c r="C17" i="46"/>
  <c r="D17" i="46" s="1"/>
  <c r="D123" i="30"/>
  <c r="D271" i="30"/>
  <c r="C7" i="46"/>
  <c r="D7" i="46" s="1"/>
  <c r="D290" i="30"/>
  <c r="D244" i="30"/>
  <c r="D61" i="30"/>
  <c r="D67" i="30"/>
  <c r="D141" i="30"/>
  <c r="D91" i="30"/>
  <c r="D19" i="30"/>
  <c r="D24" i="30"/>
  <c r="D92" i="30"/>
  <c r="D195" i="30"/>
  <c r="D217" i="30"/>
  <c r="D192" i="30"/>
  <c r="D115" i="30"/>
  <c r="C47" i="46"/>
  <c r="D47" i="46" s="1"/>
  <c r="D189" i="30"/>
  <c r="D88" i="30"/>
  <c r="D102" i="30"/>
  <c r="D49" i="30"/>
  <c r="D264" i="30"/>
  <c r="D267" i="30"/>
  <c r="D59" i="30"/>
  <c r="D72" i="30"/>
  <c r="D76" i="30"/>
  <c r="D81" i="30"/>
  <c r="D260" i="30"/>
  <c r="C38" i="46"/>
  <c r="D38" i="46" s="1"/>
  <c r="D66" i="30"/>
  <c r="C13" i="46"/>
  <c r="D13" i="46" s="1"/>
  <c r="D99" i="30"/>
  <c r="D110" i="30"/>
  <c r="C46" i="46"/>
  <c r="D46" i="46" s="1"/>
  <c r="D164" i="30"/>
  <c r="D235" i="30"/>
  <c r="D63" i="30"/>
  <c r="C37" i="46"/>
  <c r="D37" i="46" s="1"/>
  <c r="D293" i="30"/>
  <c r="D69" i="30"/>
  <c r="D111" i="30"/>
  <c r="D168" i="30"/>
  <c r="D26" i="30"/>
  <c r="D48" i="30"/>
  <c r="D179" i="30"/>
  <c r="D129" i="30"/>
  <c r="D258" i="30"/>
  <c r="D280" i="30"/>
  <c r="D311" i="30"/>
  <c r="D118" i="30"/>
  <c r="D10" i="30"/>
  <c r="D257" i="30"/>
  <c r="D138" i="30"/>
  <c r="D174" i="30"/>
  <c r="D249" i="30"/>
  <c r="D149" i="30"/>
  <c r="D297" i="30"/>
  <c r="D112" i="30"/>
  <c r="D28" i="30"/>
  <c r="C45" i="46"/>
  <c r="D45" i="46" s="1"/>
  <c r="D312" i="30"/>
  <c r="D254" i="30"/>
  <c r="D150" i="30"/>
  <c r="D272" i="30"/>
  <c r="D157" i="30"/>
  <c r="D242" i="30"/>
  <c r="D41" i="30"/>
  <c r="D199" i="30"/>
  <c r="D166" i="30"/>
  <c r="D70" i="30"/>
  <c r="D16" i="30"/>
  <c r="D216" i="30"/>
  <c r="C11" i="46"/>
  <c r="D11" i="46" s="1"/>
  <c r="D276" i="30"/>
  <c r="C16" i="46"/>
  <c r="D16" i="46" s="1"/>
  <c r="D275" i="30"/>
  <c r="D13" i="30"/>
  <c r="D109" i="30"/>
  <c r="D302" i="30"/>
  <c r="D263" i="30"/>
  <c r="D301" i="30"/>
  <c r="D273" i="30"/>
  <c r="D75" i="30"/>
  <c r="D43" i="30"/>
  <c r="D308" i="30"/>
  <c r="D291" i="30"/>
  <c r="D238" i="30"/>
  <c r="D215" i="30"/>
  <c r="D279" i="30"/>
  <c r="D17" i="30"/>
  <c r="D287" i="30"/>
  <c r="D124" i="30"/>
  <c r="D175" i="30"/>
  <c r="D220" i="30"/>
  <c r="D211" i="30"/>
  <c r="D246" i="30"/>
  <c r="D50" i="30"/>
  <c r="D119" i="30"/>
  <c r="D207" i="30"/>
  <c r="D203" i="30"/>
  <c r="D11" i="30"/>
  <c r="D60" i="30"/>
  <c r="D153" i="30"/>
  <c r="D14" i="30"/>
  <c r="D73" i="30"/>
  <c r="D94" i="30"/>
  <c r="D310" i="30"/>
  <c r="D170" i="30"/>
  <c r="D219" i="30"/>
  <c r="D139" i="30"/>
  <c r="D184" i="30"/>
  <c r="D143" i="30"/>
  <c r="D160" i="30"/>
  <c r="D162" i="30"/>
  <c r="D176" i="30"/>
  <c r="D135" i="30"/>
  <c r="D277" i="30"/>
  <c r="D8" i="30"/>
  <c r="D283" i="30"/>
  <c r="D186" i="30"/>
  <c r="D87" i="30"/>
  <c r="D197" i="30"/>
  <c r="C9" i="46"/>
  <c r="D9" i="46" s="1"/>
  <c r="D198" i="30"/>
  <c r="D270" i="30"/>
  <c r="D125" i="30"/>
  <c r="D31" i="30"/>
  <c r="D105" i="30"/>
  <c r="D126" i="30"/>
  <c r="D183" i="30"/>
  <c r="C36" i="46"/>
  <c r="D36" i="46" s="1"/>
  <c r="D161" i="30"/>
  <c r="D295" i="30"/>
  <c r="D106" i="30"/>
  <c r="D145" i="30"/>
  <c r="D57" i="30"/>
  <c r="D52" i="30"/>
  <c r="D190" i="30"/>
  <c r="D7" i="30"/>
  <c r="D152" i="30"/>
  <c r="D47" i="30"/>
  <c r="D307" i="30"/>
  <c r="D243" i="30"/>
  <c r="D80" i="30"/>
  <c r="D241" i="30"/>
  <c r="C34" i="46"/>
  <c r="D34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3" i="46" a="1"/>
  <c r="C33" i="46" l="1"/>
  <c r="D3" i="46" l="1"/>
  <c r="D33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<sst xmlns="http://schemas.openxmlformats.org/spreadsheetml/2006/main" count="913" uniqueCount="365">
  <si>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</si>
  <si>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</si>
  <si>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</si>
  <si>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</si>
  <si>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</si>
  <si>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</si>
  <si>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</si>
  <si>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</si>
  <si>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</si>
  <si>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</si>
  <si>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</si>
  <si>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</si>
  <si>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</si>
  <si>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</si>
  <si>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</si>
  <si>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</si>
  <si>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</si>
  <si>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</si>
  <si>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</si>
  <si>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</si>
  <si>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</si>
  <si>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</si>
  <si>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</si>
  <si>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</si>
  <si>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</si>
  <si>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</si>
  <si>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</si>
  <si>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</si>
  <si>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</si>
  <si>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</si>
  <si>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</si>
  <si>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</si>
  <si>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</si>
  <si>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</si>
  <si>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</si>
  <si>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</si>
  <si>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</si>
  <si>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</si>
  <si>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</si>
  <si>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</si>
  <si>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</si>
  <si>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</si>
  <si>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</si>
  <si>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</si>
  <si>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</si>
  <si>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</si>
  <si>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</si>
  <si>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</si>
  <si>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</si>
  <si>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</si>
  <si>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</si>
  <si>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</si>
  <si>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</si>
  <si>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</si>
  <si>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</si>
  <si>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</si>
  <si>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</si>
  <si>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</si>
  <si>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</si>
  <si>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</si>
  <si>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</si>
  <si>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</si>
  <si>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</si>
  <si>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</si>
  <si>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</si>
  <si>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</si>
  <si>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</si>
  <si>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</si>
  <si>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</si>
  <si>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</si>
  <si>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</si>
  <si>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</si>
  <si>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</si>
  <si>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</si>
  <si>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</si>
  <si>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</si>
  <si>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</si>
  <si>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</si>
  <si>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</si>
  <si>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</si>
  <si>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</si>
  <si>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</si>
  <si>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</si>
  <si>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</si>
  <si>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</si>
  <si>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</si>
  <si>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</si>
  <si>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</si>
  <si>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</si>
  <si>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</si>
  <si>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</si>
  <si>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</si>
  <si>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</si>
  <si>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</si>
  <si>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</si>
  <si>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</si>
  <si>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</si>
  <si>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</si>
  <si>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</si>
  <si>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</si>
  <si>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</si>
  <si>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</si>
  <si>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</si>
  <si>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</si>
  <si>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</si>
  <si>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</si>
  <si>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</si>
  <si>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</si>
  <si>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</si>
  <si>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</si>
  <si>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</si>
  <si>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</si>
  <si>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</si>
  <si>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</si>
  <si>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</si>
  <si>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</si>
  <si>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</si>
  <si>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</si>
  <si>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</si>
  <si>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</si>
  <si>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</si>
  <si>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</si>
  <si>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</si>
  <si>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</si>
  <si>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</si>
  <si>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</si>
  <si>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</si>
  <si>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</si>
  <si>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</si>
  <si>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</si>
  <si>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</si>
  <si>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</si>
  <si>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</si>
  <si>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</si>
  <si>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</si>
  <si>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</si>
  <si>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</si>
  <si>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</si>
  <si>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</si>
  <si>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</si>
  <si>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</si>
  <si>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</si>
  <si>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</si>
  <si>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</si>
  <si>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</si>
  <si>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</si>
  <si>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</si>
  <si>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</si>
  <si>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</si>
  <si>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</si>
  <si>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</si>
  <si>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</si>
  <si>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</si>
  <si>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</si>
  <si>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</si>
  <si>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</si>
  <si>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</si>
  <si>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</si>
  <si>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</si>
  <si>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</si>
  <si>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</si>
  <si>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</si>
  <si>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</si>
  <si>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</si>
  <si>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</si>
  <si>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</si>
  <si>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</si>
  <si>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</si>
  <si>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</si>
  <si>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</si>
  <si>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</si>
  <si>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</si>
  <si>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</si>
  <si>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</si>
  <si>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</si>
  <si>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</si>
  <si>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</si>
  <si>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</si>
  <si>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</si>
  <si>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</si>
  <si>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</si>
  <si>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</si>
  <si>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</si>
  <si>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</si>
  <si>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</si>
  <si>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</si>
  <si>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</si>
  <si>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</si>
  <si>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</si>
  <si>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</si>
  <si>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</si>
  <si>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</si>
  <si>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</si>
  <si>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</si>
  <si>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</si>
  <si>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</si>
  <si>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</si>
  <si>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</si>
  <si>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</si>
  <si>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</si>
  <si>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</si>
  <si>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</si>
  <si>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</si>
  <si>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</si>
  <si>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</si>
  <si>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</si>
  <si>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</si>
  <si>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</si>
  <si>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</si>
  <si>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</si>
  <si>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</si>
  <si>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</si>
  <si>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</si>
  <si>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</si>
  <si>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</si>
  <si>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</si>
  <si>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</si>
  <si>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</si>
  <si>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</si>
  <si>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</si>
  <si>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</si>
  <si>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</si>
  <si>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</si>
  <si>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</si>
  <si>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</si>
  <si>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</si>
  <si>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</si>
  <si>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</si>
  <si>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</si>
  <si>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</si>
  <si>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</si>
  <si>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</si>
  <si>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</si>
  <si>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</si>
  <si>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</si>
  <si>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</si>
  <si>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</si>
  <si>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</si>
  <si>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</si>
  <si>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</si>
  <si>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</si>
  <si>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</si>
  <si>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</si>
  <si>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</si>
  <si>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</si>
  <si>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</si>
  <si>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</si>
  <si>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</si>
  <si>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</si>
  <si>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</si>
  <si>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</si>
  <si>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</si>
  <si>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</si>
  <si>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</si>
  <si>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</si>
  <si>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</si>
  <si>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</si>
  <si>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</si>
  <si>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</si>
  <si>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</si>
  <si>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</si>
  <si>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</si>
  <si>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</si>
  <si>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</si>
  <si>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</si>
  <si>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</si>
  <si>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</si>
  <si>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</si>
  <si>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</si>
  <si>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</si>
  <si>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</si>
  <si>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</si>
  <si>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</si>
  <si>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</si>
  <si>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</si>
  <si>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</si>
  <si>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</si>
  <si>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</si>
  <si>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</si>
  <si>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</si>
  <si>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</si>
  <si>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</si>
  <si>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</si>
  <si>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</si>
  <si>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</si>
  <si>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</si>
  <si>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</si>
  <si>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</si>
  <si>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</si>
  <si>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</si>
  <si>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</si>
  <si>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</si>
  <si>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</si>
  <si>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</si>
  <si>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</si>
  <si>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</si>
  <si>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</si>
  <si>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</si>
  <si>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</si>
  <si>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</si>
  <si>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</si>
  <si>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</si>
  <si>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</si>
  <si>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</si>
  <si>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</si>
  <si>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</si>
  <si>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</si>
  <si>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</si>
  <si>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</si>
  <si>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</si>
  <si>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</si>
  <si>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</si>
  <si>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</si>
  <si>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</si>
  <si>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</si>
  <si>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</si>
  <si>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</si>
  <si>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</si>
  <si>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</si>
  <si>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</si>
  <si>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</si>
  <si>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</si>
  <si>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</si>
  <si>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</si>
  <si>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</si>
  <si>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</si>
  <si>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</si>
  <si>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</si>
  <si>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</si>
  <si>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</si>
  <si>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</si>
  <si>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</si>
  <si>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</si>
  <si>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</si>
  <si>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</si>
  <si>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</si>
  <si>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</si>
  <si>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</si>
  <si>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</si>
  <si>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</si>
  <si>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</si>
  <si>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</si>
  <si>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</si>
  <si>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</si>
  <si>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</si>
  <si>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</si>
  <si>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</si>
  <si>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</si>
  <si>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</si>
  <si>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</si>
  <si>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</si>
  <si>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</si>
  <si>
    <t>Sameh Houssein Ali Abed Al-Wahid</t>
  </si>
  <si>
    <t>ElHassan Nagib</t>
  </si>
  <si>
    <t>JED - Obhor - Al Sheraa</t>
  </si>
  <si>
    <t>JED - Obhor - Al Amwaj</t>
  </si>
  <si>
    <t>Ahmed Al Gammal</t>
  </si>
  <si>
    <t>Bader Eddine</t>
  </si>
  <si>
    <t>Abdelrahman Kamal</t>
  </si>
  <si>
    <t>Tarak Othman</t>
  </si>
  <si>
    <t>Nawaf Alanazi</t>
  </si>
  <si>
    <t>Ibrahim Saleh</t>
  </si>
  <si>
    <t>Abdelrahman Faris</t>
  </si>
  <si>
    <t>Raqan Abdel Mehsen Al-Qahtani</t>
  </si>
  <si>
    <t>Omar Mayhoub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</si>
</sst>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314</v>
      </c>
      <c r="D3" s="26">
        <f ca="1">SUM(C7:C48)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177</v>
      </c>
      <c r="C5" s="8" t="s">
        <v>178</v>
      </c>
      <c r="D5" s="9" t="s">
        <v>179</v>
      </c>
      <c r="F5" s="10"/>
    </row>
    <row r="6" spans="1:16" ht="49.25" customHeight="1" x14ac:dyDescent="0.2">
      <c r="A6" s="11" t="s">
        <v>20</v>
      </c>
      <c r="B6" s="12" t="s">
        <v>180</v>
      </c>
      <c r="C6" s="12" t="s">
        <v>181</v>
      </c>
      <c r="D6" s="12" t="s">
        <v>182</v>
      </c>
      <c r="F6" s="10"/>
    </row>
    <row r="7" spans="1:16" s="15" customFormat="1" ht="64.5" customHeight="1" x14ac:dyDescent="0.2">
      <c r="A7" s="66" t="s">
        <v>257</v>
      </c>
      <c r="B7" s="42">
        <f t="shared" ref="B7:B48" ca="1" si="0">IFERROR(COUNTIFS(INDIRECT("'" &amp; $A7 &amp; "'!E:E"), "&gt;=" &amp; $B$3-7, INDIRECT("'" &amp; $A7 &amp; "'!E:E"), "&lt;=" &amp; $B$3),0)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254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253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255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256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34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204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203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202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201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200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29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30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183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31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32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33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35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36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37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customFormat="1" ht="64" customHeight="1" x14ac:dyDescent="0.2">
      <c r="A32" s="66" t="s">
        <v>205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  <c r="E32" s="19"/>
    </row>
    <row r="33" spans="1:6" s="18" customFormat="1" ht="64" customHeight="1" x14ac:dyDescent="0.2">
      <c r="A33" s="29" t="s">
        <v>39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C33+0</f>
        <v>0</v>
      </c>
      <c r="E33" s="17"/>
    </row>
    <row r="34" spans="1:6" ht="64" customHeight="1" x14ac:dyDescent="0.2">
      <c r="A34" s="29" t="s">
        <v>355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C34+2</f>
        <v>2</v>
      </c>
      <c r="F34" s="1"/>
    </row>
    <row r="35" spans="1:6" ht="64" customHeight="1" x14ac:dyDescent="0.2">
      <c r="A35" s="29" t="s">
        <v>354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C35+0</f>
        <v>0</v>
      </c>
      <c r="F35" s="1"/>
    </row>
    <row r="36" spans="1:6" customFormat="1" ht="64" customHeight="1" x14ac:dyDescent="0.2">
      <c r="A36" s="66" t="s">
        <v>209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C36+4</f>
        <v>4</v>
      </c>
      <c r="E36" s="19"/>
    </row>
    <row r="37" spans="1:6" customFormat="1" ht="64" customHeight="1" x14ac:dyDescent="0.2">
      <c r="A37" s="66" t="s">
        <v>208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C37+12</f>
        <v>12</v>
      </c>
      <c r="E37" s="19"/>
    </row>
    <row r="38" spans="1:6" customFormat="1" ht="64" customHeight="1" x14ac:dyDescent="0.2">
      <c r="A38" s="66" t="s">
        <v>207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C38+2</f>
        <v>2</v>
      </c>
      <c r="E38" s="19"/>
    </row>
    <row r="39" spans="1:6" ht="64" customHeight="1" x14ac:dyDescent="0.2">
      <c r="A39" s="29" t="s">
        <v>27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C39+0</f>
        <v>0</v>
      </c>
      <c r="F39" s="1"/>
    </row>
    <row r="40" spans="1:6" ht="64" customHeight="1" x14ac:dyDescent="0.2">
      <c r="A40" s="29" t="s">
        <v>28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C40+6</f>
        <v>6</v>
      </c>
      <c r="F40" s="1"/>
    </row>
    <row r="41" spans="1:6" customFormat="1" ht="64" customHeight="1" x14ac:dyDescent="0.2">
      <c r="A41" s="28" t="s">
        <v>38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C41+10</f>
        <v>10</v>
      </c>
      <c r="E41" s="19"/>
    </row>
    <row r="42" spans="1:6" s="14" customFormat="1" ht="64.5" customHeight="1" x14ac:dyDescent="0.2">
      <c r="A42" s="66" t="s">
        <v>21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C42+34</f>
        <v>34</v>
      </c>
    </row>
    <row r="43" spans="1:6" customFormat="1" ht="64" customHeight="1" x14ac:dyDescent="0.2">
      <c r="A43" s="39" t="s">
        <v>322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C43+47</f>
        <v>47</v>
      </c>
      <c r="E43" s="19"/>
    </row>
    <row r="44" spans="1:6" customFormat="1" ht="64" customHeight="1" x14ac:dyDescent="0.2">
      <c r="A44" s="66" t="s">
        <v>206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C44+22</f>
        <v>22</v>
      </c>
      <c r="E44" s="19"/>
    </row>
    <row r="45" spans="1:6" customFormat="1" ht="64" customHeight="1" x14ac:dyDescent="0.2">
      <c r="A45" s="66" t="s">
        <v>266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C45+1</f>
        <v>1</v>
      </c>
      <c r="E45" s="19"/>
    </row>
    <row r="46" spans="1:6" customFormat="1" ht="64" customHeight="1" x14ac:dyDescent="0.2">
      <c r="A46" s="28" t="s">
        <v>280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C46+4</f>
        <v>4</v>
      </c>
      <c r="E46" s="19"/>
    </row>
    <row r="47" spans="1:6" customFormat="1" ht="64" customHeight="1" x14ac:dyDescent="0.2">
      <c r="A47" s="66" t="s">
        <v>281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C47+2</f>
        <v>2</v>
      </c>
      <c r="E47" s="19"/>
    </row>
    <row r="48" spans="1:6" customFormat="1" ht="64" customHeight="1" x14ac:dyDescent="0.2">
      <c r="A48" s="66" t="s">
        <v>342</v>
      </c>
      <c r="B48" s="42">
        <f t="shared" ca="1" si="0"/>
        <v>0</v>
      </c>
      <c r="C48" s="41">
        <f t="array" aca="1" ref="C48" ca="1">INDIRECT("'" &amp; A48 &amp; "'!D3")</f>
        <v>0</v>
      </c>
      <c r="D48" s="41">
        <f ca="1">C48+0</f>
        <v>0</v>
      </c>
      <c r="E48" s="19"/>
    </row>
    <row r="49" spans="1:5" customFormat="1" ht="16" x14ac:dyDescent="0.2">
      <c r="A49" s="19"/>
      <c r="B49" s="19"/>
      <c r="C49" s="20"/>
      <c r="D49" s="20"/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2"/>
  <sheetViews>
    <sheetView showGridLines="0" zoomScale="50" zoomScaleNormal="50" zoomScaleSheetLayoutView="30" zoomScalePageLayoutView="50" workbookViewId="0">
      <selection activeCell="A5" sqref="A5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178</v>
      </c>
      <c r="D5" s="25" t="s">
        <v>177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181</v>
      </c>
      <c r="D6" s="12" t="s">
        <v>180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257</v>
      </c>
      <c r="B7" s="34" t="s">
        <v>167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168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166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173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319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323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172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174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169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324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175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254</v>
      </c>
      <c r="B19" s="34" t="s">
        <v>148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149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150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151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152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153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155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156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157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158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159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160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262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263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264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161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162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163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164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165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253</v>
      </c>
      <c r="B39" s="32" t="s">
        <v>141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142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144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145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146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43"/>
      <c r="B44" s="52" t="s">
        <v>187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43"/>
      <c r="B45" s="52" t="s">
        <v>190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189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188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37"/>
      <c r="B48" s="36" t="s">
        <v>147</v>
      </c>
      <c r="C48" s="37">
        <f ca="1">IFERROR(
   COUNTIF(INDIRECT("'" &amp; LOOKUP("zzz",$A$7:A48) &amp; "'!C:C"), B48),
   0
)</f>
        <v>0</v>
      </c>
      <c r="D48" s="73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30" t="s">
        <v>255</v>
      </c>
      <c r="B49" s="34" t="s">
        <v>289</v>
      </c>
      <c r="C49" s="30">
        <f ca="1">IFERROR(
   COUNTIF(INDIRECT("'" &amp; LOOKUP("zzz",$A$7:A49) &amp; "'!C:C"), B49),
   0
)</f>
        <v>0</v>
      </c>
      <c r="D49" s="72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28"/>
      <c r="B50" s="32" t="s">
        <v>290</v>
      </c>
      <c r="C50" s="28">
        <f ca="1">IFERROR(
   COUNTIF(INDIRECT("'" &amp; LOOKUP("zzz",$A$7:A50) &amp; "'!C:C"), B50),
   0
)</f>
        <v>0</v>
      </c>
      <c r="D50" s="41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28"/>
      <c r="B51" s="32" t="s">
        <v>291</v>
      </c>
      <c r="C51" s="28">
        <f ca="1">IFERROR(
   COUNTIF(INDIRECT("'" &amp; LOOKUP("zzz",$A$7:A51) &amp; "'!C:C"), B51),
   0
)</f>
        <v>0</v>
      </c>
      <c r="D51" s="41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292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293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294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295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296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297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325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299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300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301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302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303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304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305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53"/>
      <c r="B66" s="56" t="s">
        <v>306</v>
      </c>
      <c r="C66" s="53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30" t="s">
        <v>256</v>
      </c>
      <c r="B67" s="34" t="s">
        <v>308</v>
      </c>
      <c r="C67" s="30">
        <f ca="1">IFERROR(
   COUNTIF(INDIRECT("'" &amp; LOOKUP("zzz",$A$7:A67) &amp; "'!C:C"), B67),
   0
)</f>
        <v>0</v>
      </c>
      <c r="D67" s="72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28"/>
      <c r="B68" s="32" t="s">
        <v>309</v>
      </c>
      <c r="C68" s="28">
        <f ca="1">IFERROR(
   COUNTIF(INDIRECT("'" &amp; LOOKUP("zzz",$A$7:A68) &amp; "'!C:C"), B68),
   0
)</f>
        <v>0</v>
      </c>
      <c r="D68" s="41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28"/>
      <c r="B69" s="32" t="s">
        <v>288</v>
      </c>
      <c r="C69" s="28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28"/>
      <c r="B70" s="32" t="s">
        <v>265</v>
      </c>
      <c r="C70" s="28">
        <f ca="1">IFERROR(
   COUNTIF(INDIRECT("'" &amp; LOOKUP("zzz",$A$7:A70) &amp; "'!C:C"), B70),
   0
)</f>
        <v>0</v>
      </c>
      <c r="D70" s="41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364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310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37"/>
      <c r="B73" s="36" t="s">
        <v>311</v>
      </c>
      <c r="C73" s="37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30" t="s">
        <v>34</v>
      </c>
      <c r="B74" s="34" t="s">
        <v>55</v>
      </c>
      <c r="C74" s="30">
        <f ca="1">IFERROR(
   COUNTIF(INDIRECT("'" &amp; LOOKUP("zzz",$A$7:A74) &amp; "'!C:C"), B74),
   0
)</f>
        <v>0</v>
      </c>
      <c r="D74" s="72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28"/>
      <c r="B75" s="32" t="s">
        <v>18</v>
      </c>
      <c r="C75" s="28">
        <f ca="1">IFERROR(
   COUNTIF(INDIRECT("'" &amp; LOOKUP("zzz",$A$7:A75) &amp; "'!C:C"), B75),
   0
)</f>
        <v>0</v>
      </c>
      <c r="D75" s="41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28"/>
      <c r="B76" s="69" t="s">
        <v>273</v>
      </c>
      <c r="C76" s="28">
        <f ca="1">IFERROR(
   COUNTIF(INDIRECT("'" &amp; LOOKUP("zzz",$A$7:A76) &amp; "'!C:C"), B76),
   0
)</f>
        <v>0</v>
      </c>
      <c r="D76" s="41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176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32" t="s">
        <v>198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94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37"/>
      <c r="B80" s="36" t="s">
        <v>10</v>
      </c>
      <c r="C80" s="37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39" t="s">
        <v>204</v>
      </c>
      <c r="B81" s="34" t="s">
        <v>249</v>
      </c>
      <c r="C81" s="30">
        <f ca="1">IFERROR(
   COUNTIF(INDIRECT("'" &amp; LOOKUP("zzz",$A$7:A81) &amp; "'!C:C"), B81),
   0
)</f>
        <v>0</v>
      </c>
      <c r="D81" s="72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28"/>
      <c r="B82" s="32" t="s">
        <v>247</v>
      </c>
      <c r="C82" s="28">
        <f ca="1">IFERROR(
   COUNTIF(INDIRECT("'" &amp; LOOKUP("zzz",$A$7:A82) &amp; "'!C:C"), B82),
   0
)</f>
        <v>0</v>
      </c>
      <c r="D82" s="41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53"/>
      <c r="B83" s="56" t="s">
        <v>109</v>
      </c>
      <c r="C83" s="53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47" t="s">
        <v>203</v>
      </c>
      <c r="B84" s="48" t="s">
        <v>252</v>
      </c>
      <c r="C84" s="47">
        <f ca="1">IFERROR(
   COUNTIF(INDIRECT("'" &amp; LOOKUP("zzz",$A$7:A84) &amp; "'!C:C"), B84),
   0
)</f>
        <v>0</v>
      </c>
      <c r="D84" s="72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251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28"/>
      <c r="B86" s="32" t="s">
        <v>50</v>
      </c>
      <c r="C86" s="28">
        <f ca="1">IFERROR(
   COUNTIF(INDIRECT("'" &amp; LOOKUP("zzz",$A$7:A86) &amp; "'!C:C"), B86),
   0
)</f>
        <v>0</v>
      </c>
      <c r="D86" s="41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53"/>
      <c r="B87" s="56" t="s">
        <v>250</v>
      </c>
      <c r="C87" s="53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39" t="s">
        <v>202</v>
      </c>
      <c r="B88" s="34" t="s">
        <v>71</v>
      </c>
      <c r="C88" s="30">
        <f ca="1">IFERROR(
   COUNTIF(INDIRECT("'" &amp; LOOKUP("zzz",$A$7:A88) &amp; "'!C:C"), B88),
   0
)</f>
        <v>0</v>
      </c>
      <c r="D88" s="72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232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customFormat="1" ht="50" customHeight="1" x14ac:dyDescent="0.2">
      <c r="A90" s="28"/>
      <c r="B90" s="32" t="s">
        <v>231</v>
      </c>
      <c r="C90" s="28">
        <f ca="1">IFERROR(
   COUNTIF(INDIRECT("'" &amp; LOOKUP("zzz",$A$7:A90) &amp; "'!C:C"), B90),
   0
)</f>
        <v>0</v>
      </c>
      <c r="D90" s="41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customFormat="1" ht="50" customHeight="1" x14ac:dyDescent="0.2">
      <c r="A91" s="53"/>
      <c r="B91" s="56" t="s">
        <v>230</v>
      </c>
      <c r="C91" s="53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customFormat="1" ht="50" customHeight="1" x14ac:dyDescent="0.2">
      <c r="A92" s="39" t="s">
        <v>201</v>
      </c>
      <c r="B92" s="34" t="s">
        <v>246</v>
      </c>
      <c r="C92" s="30">
        <f ca="1">IFERROR(
   COUNTIF(INDIRECT("'" &amp; LOOKUP("zzz",$A$7:A92) &amp; "'!C:C"), B92),
   0
)</f>
        <v>0</v>
      </c>
      <c r="D92" s="72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245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28"/>
      <c r="B94" s="32" t="s">
        <v>244</v>
      </c>
      <c r="C94" s="28">
        <f ca="1">IFERROR(
   COUNTIF(INDIRECT("'" &amp; LOOKUP("zzz",$A$7:A94) &amp; "'!C:C"), B94),
   0
)</f>
        <v>0</v>
      </c>
      <c r="D94" s="41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28"/>
      <c r="B95" s="32" t="s">
        <v>243</v>
      </c>
      <c r="C95" s="28">
        <f ca="1">IFERROR(
   COUNTIF(INDIRECT("'" &amp; LOOKUP("zzz",$A$7:A95) &amp; "'!C:C"), B95),
   0
)</f>
        <v>0</v>
      </c>
      <c r="D95" s="41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53"/>
      <c r="B96" s="56" t="s">
        <v>242</v>
      </c>
      <c r="C96" s="53">
        <f ca="1">IFERROR(
   COUNTIF(INDIRECT("'" &amp; LOOKUP("zzz",$A$7:A96) &amp; "'!C:C"), B96),
   0
)</f>
        <v>0</v>
      </c>
      <c r="D96" s="73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30" t="s">
        <v>200</v>
      </c>
      <c r="B97" s="34" t="s">
        <v>241</v>
      </c>
      <c r="C97" s="30">
        <f ca="1">IFERROR(
   COUNTIF(INDIRECT("'" &amp; LOOKUP("zzz",$A$7:A97) &amp; "'!C:C"), B97),
   0
)</f>
        <v>0</v>
      </c>
      <c r="D97" s="72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50" customHeight="1" x14ac:dyDescent="0.2">
      <c r="A98" s="28"/>
      <c r="B98" s="32" t="s">
        <v>240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15" ht="50" customHeight="1" x14ac:dyDescent="0.2">
      <c r="A99" s="28"/>
      <c r="B99" s="13" t="s">
        <v>307</v>
      </c>
      <c r="C99" s="28">
        <f ca="1">IFERROR(
   COUNTIF(INDIRECT("'" &amp; LOOKUP("zzz",$A$7:A99) &amp; "'!C:C"), B99),
   0
)</f>
        <v>0</v>
      </c>
      <c r="D99" s="41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15" ht="50" customHeight="1" x14ac:dyDescent="0.2">
      <c r="A100" s="28"/>
      <c r="B100" s="32" t="s">
        <v>239</v>
      </c>
      <c r="C100" s="28">
        <f ca="1">IFERROR(
   COUNTIF(INDIRECT("'" &amp; LOOKUP("zzz",$A$7:A100) &amp; "'!C:C"), B100),
   0
)</f>
        <v>0</v>
      </c>
      <c r="D100" s="41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15" ht="50" customHeight="1" x14ac:dyDescent="0.2">
      <c r="A101" s="28"/>
      <c r="B101" s="32" t="s">
        <v>238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32" t="s">
        <v>237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236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235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234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53"/>
      <c r="B106" s="56" t="s">
        <v>233</v>
      </c>
      <c r="C106" s="53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30" t="s">
        <v>29</v>
      </c>
      <c r="B107" s="35" t="s">
        <v>50</v>
      </c>
      <c r="C107" s="30">
        <f ca="1">IFERROR(
   COUNTIF(INDIRECT("'" &amp; LOOKUP("zzz",$A$7:A107) &amp; "'!C:C"), B107),
   0
)</f>
        <v>0</v>
      </c>
      <c r="D107" s="72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30"/>
      <c r="B108" s="35" t="s">
        <v>315</v>
      </c>
      <c r="C108" s="30">
        <f ca="1">IFERROR(
   COUNTIF(INDIRECT("'" &amp; LOOKUP("zzz",$A$7:A108) &amp; "'!C:C"), B108),
   0
)</f>
        <v>0</v>
      </c>
      <c r="D108" s="42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29"/>
      <c r="B109" s="33" t="s">
        <v>70</v>
      </c>
      <c r="C109" s="28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29"/>
      <c r="B110" s="33" t="s">
        <v>89</v>
      </c>
      <c r="C110" s="28">
        <f ca="1">IFERROR(
   COUNTIF(INDIRECT("'" &amp; LOOKUP("zzz",$A$7:A110) &amp; "'!C:C"), B110),
   0
)</f>
        <v>0</v>
      </c>
      <c r="D110" s="41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29"/>
      <c r="B111" s="33" t="s">
        <v>107</v>
      </c>
      <c r="C111" s="28">
        <f ca="1">IFERROR(
   COUNTIF(INDIRECT("'" &amp; LOOKUP("zzz",$A$7:A111) &amp; "'!C:C"), B111),
   0
)</f>
        <v>0</v>
      </c>
      <c r="D111" s="41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170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327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326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121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40"/>
      <c r="B116" s="38" t="s">
        <v>131</v>
      </c>
      <c r="C116" s="37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9" t="s">
        <v>30</v>
      </c>
      <c r="B117" s="35" t="s">
        <v>51</v>
      </c>
      <c r="C117" s="30">
        <f ca="1">IFERROR(
   COUNTIF(INDIRECT("'" &amp; LOOKUP("zzz",$A$7:A117) &amp; "'!C:C"), B117),
   0
)</f>
        <v>0</v>
      </c>
      <c r="D117" s="72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312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29"/>
      <c r="B119" s="33" t="s">
        <v>313</v>
      </c>
      <c r="C119" s="28">
        <f ca="1">IFERROR(
   COUNTIF(INDIRECT("'" &amp; LOOKUP("zzz",$A$7:A119) &amp; "'!C:C"), B119),
   0
)</f>
        <v>0</v>
      </c>
      <c r="D119" s="41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9"/>
      <c r="B120" s="33" t="s">
        <v>196</v>
      </c>
      <c r="C120" s="28">
        <f ca="1">IFERROR(
   COUNTIF(INDIRECT("'" &amp; LOOKUP("zzz",$A$7:A120) &amp; "'!C:C"), B120),
   0
)</f>
        <v>0</v>
      </c>
      <c r="D120" s="41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197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69" t="s">
        <v>349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71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90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40"/>
      <c r="B125" s="36" t="s">
        <v>122</v>
      </c>
      <c r="C125" s="37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45" t="s">
        <v>183</v>
      </c>
      <c r="B126" s="46" t="s">
        <v>184</v>
      </c>
      <c r="C126" s="50">
        <f ca="1">IFERROR(
   COUNTIF(INDIRECT("'" &amp; LOOKUP("zzz",$A$7:A126) &amp; "'!C:C"), B126),
   0
)</f>
        <v>0</v>
      </c>
      <c r="D126" s="72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185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29"/>
      <c r="B128" s="33" t="s">
        <v>328</v>
      </c>
      <c r="C128" s="28">
        <f ca="1">IFERROR(
   COUNTIF(INDIRECT("'" &amp; LOOKUP("zzz",$A$7:A128) &amp; "'!C:C"), B128),
   0
)</f>
        <v>0</v>
      </c>
      <c r="D128" s="41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29"/>
      <c r="B129" s="33" t="s">
        <v>171</v>
      </c>
      <c r="C129" s="28">
        <f ca="1">IFERROR(
   COUNTIF(INDIRECT("'" &amp; LOOKUP("zzz",$A$7:A129) &amp; "'!C:C"), B129),
   0
)</f>
        <v>0</v>
      </c>
      <c r="D129" s="41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352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329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8"/>
      <c r="B132" s="32" t="s">
        <v>91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330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45"/>
      <c r="B134" s="49" t="s">
        <v>331</v>
      </c>
      <c r="C134" s="51">
        <f ca="1">IFERROR(
   COUNTIF(INDIRECT("'" &amp; LOOKUP("zzz",$A$7:A134) &amp; "'!C:C"), B134),
   0
)</f>
        <v>0</v>
      </c>
      <c r="D134" s="73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60" t="s">
        <v>31</v>
      </c>
      <c r="B135" s="48" t="s">
        <v>52</v>
      </c>
      <c r="C135" s="47">
        <f ca="1">IFERROR(
   COUNTIF(INDIRECT("'" &amp; LOOKUP("zzz",$A$7:A135) &amp; "'!C:C"), B135),
   0
)</f>
        <v>0</v>
      </c>
      <c r="D135" s="72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9"/>
      <c r="B136" s="33" t="s">
        <v>72</v>
      </c>
      <c r="C136" s="28">
        <f ca="1">IFERROR(
   COUNTIF(INDIRECT("'" &amp; LOOKUP("zzz",$A$7:A136) &amp; "'!C:C"), B136),
   0
)</f>
        <v>0</v>
      </c>
      <c r="D136" s="4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29"/>
      <c r="B137" s="33" t="s">
        <v>199</v>
      </c>
      <c r="C137" s="28">
        <f ca="1">IFERROR(
   COUNTIF(INDIRECT("'" &amp; LOOKUP("zzz",$A$7:A137) &amp; "'!C:C"), B137),
   0
)</f>
        <v>0</v>
      </c>
      <c r="D137" s="41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9"/>
      <c r="B138" s="33" t="s">
        <v>261</v>
      </c>
      <c r="C138" s="28">
        <f ca="1">IFERROR(
   COUNTIF(INDIRECT("'" &amp; LOOKUP("zzz",$A$7:A138) &amp; "'!C:C"), B138),
   0
)</f>
        <v>0</v>
      </c>
      <c r="D138" s="41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33" t="s">
        <v>109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40"/>
      <c r="B140" s="38" t="s">
        <v>123</v>
      </c>
      <c r="C140" s="37">
        <f ca="1">IFERROR(
   COUNTIF(INDIRECT("'" &amp; LOOKUP("zzz",$A$7:A140) &amp; "'!C:C"), B140),
   0
)</f>
        <v>0</v>
      </c>
      <c r="D140" s="73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30" t="s">
        <v>32</v>
      </c>
      <c r="B141" s="35" t="s">
        <v>53</v>
      </c>
      <c r="C141" s="30">
        <f ca="1">IFERROR(
   COUNTIF(INDIRECT("'" &amp; LOOKUP("zzz",$A$7:A141) &amp; "'!C:C"), B141),
   0
)</f>
        <v>0</v>
      </c>
      <c r="D141" s="72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30"/>
      <c r="B142" s="35" t="s">
        <v>363</v>
      </c>
      <c r="C142" s="30">
        <f ca="1">IFERROR(
   COUNTIF(INDIRECT("'" &amp; LOOKUP("zzz",$A$7:A142) &amp; "'!C:C"), B142),
   0
)</f>
        <v>0</v>
      </c>
      <c r="D142" s="42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9"/>
      <c r="B143" s="33" t="s">
        <v>73</v>
      </c>
      <c r="C143" s="28">
        <f ca="1">IFERROR(
   COUNTIF(INDIRECT("'" &amp; LOOKUP("zzz",$A$7:A143) &amp; "'!C:C"), B143),
   0
)</f>
        <v>0</v>
      </c>
      <c r="D143" s="41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9"/>
      <c r="B144" s="33" t="s">
        <v>92</v>
      </c>
      <c r="C144" s="28">
        <f ca="1">IFERROR(
   COUNTIF(INDIRECT("'" &amp; LOOKUP("zzz",$A$7:A144) &amp; "'!C:C"), B144),
   0
)</f>
        <v>0</v>
      </c>
      <c r="D144" s="41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110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29"/>
      <c r="B146" s="33" t="s">
        <v>124</v>
      </c>
      <c r="C146" s="28">
        <f ca="1">IFERROR(
   COUNTIF(INDIRECT("'" &amp; LOOKUP("zzz",$A$7:A146) &amp; "'!C:C"), B146),
   0
)</f>
        <v>0</v>
      </c>
      <c r="D146" s="41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40"/>
      <c r="B147" s="38" t="s">
        <v>132</v>
      </c>
      <c r="C147" s="37">
        <f ca="1">IFERROR(
   COUNTIF(INDIRECT("'" &amp; LOOKUP("zzz",$A$7:A147) &amp; "'!C:C"), B147),
   0
)</f>
        <v>0</v>
      </c>
      <c r="D147" s="73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39" t="s">
        <v>33</v>
      </c>
      <c r="B148" s="35" t="s">
        <v>54</v>
      </c>
      <c r="C148" s="30">
        <f ca="1">IFERROR(
   COUNTIF(INDIRECT("'" &amp; LOOKUP("zzz",$A$7:A148) &amp; "'!C:C"), B148),
   0
)</f>
        <v>0</v>
      </c>
      <c r="D148" s="72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9"/>
      <c r="B149" s="33" t="s">
        <v>74</v>
      </c>
      <c r="C149" s="28">
        <f ca="1">IFERROR(
   COUNTIF(INDIRECT("'" &amp; LOOKUP("zzz",$A$7:A149) &amp; "'!C:C"), B149),
   0
)</f>
        <v>0</v>
      </c>
      <c r="D149" s="41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9"/>
      <c r="B150" s="33" t="s">
        <v>93</v>
      </c>
      <c r="C150" s="28">
        <f ca="1">IFERROR(
   COUNTIF(INDIRECT("'" &amp; LOOKUP("zzz",$A$7:A150) &amp; "'!C:C"), B150),
   0
)</f>
        <v>0</v>
      </c>
      <c r="D150" s="41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32" t="s">
        <v>111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8"/>
      <c r="B152" s="32" t="s">
        <v>125</v>
      </c>
      <c r="C152" s="28">
        <f ca="1">IFERROR(
   COUNTIF(INDIRECT("'" &amp; LOOKUP("zzz",$A$7:A152) &amp; "'!C:C"), B152),
   0
)</f>
        <v>0</v>
      </c>
      <c r="D152" s="41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37"/>
      <c r="B153" s="36" t="s">
        <v>133</v>
      </c>
      <c r="C153" s="37">
        <f ca="1">IFERROR(
   COUNTIF(INDIRECT("'" &amp; LOOKUP("zzz",$A$7:A153) &amp; "'!C:C"), B153),
   0
)</f>
        <v>0</v>
      </c>
      <c r="D153" s="73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30" t="s">
        <v>35</v>
      </c>
      <c r="B154" s="34" t="s">
        <v>56</v>
      </c>
      <c r="C154" s="30">
        <f ca="1">IFERROR(
   COUNTIF(INDIRECT("'" &amp; LOOKUP("zzz",$A$7:A154) &amp; "'!C:C"), B154),
   0
)</f>
        <v>0</v>
      </c>
      <c r="D154" s="72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28"/>
      <c r="B155" s="32" t="s">
        <v>75</v>
      </c>
      <c r="C155" s="28">
        <f ca="1">IFERROR(
   COUNTIF(INDIRECT("'" &amp; LOOKUP("zzz",$A$7:A155) &amp; "'!C:C"), B155),
   0
)</f>
        <v>0</v>
      </c>
      <c r="D155" s="41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28"/>
      <c r="B156" s="32" t="s">
        <v>95</v>
      </c>
      <c r="C156" s="28">
        <f ca="1">IFERROR(
   COUNTIF(INDIRECT("'" &amp; LOOKUP("zzz",$A$7:A156) &amp; "'!C:C"), B156),
   0
)</f>
        <v>0</v>
      </c>
      <c r="D156" s="41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28"/>
      <c r="B157" s="32" t="s">
        <v>112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43"/>
      <c r="B158" s="32" t="s">
        <v>108</v>
      </c>
      <c r="C158" s="28">
        <f ca="1">IFERROR(
   COUNTIF(INDIRECT("'" &amp; LOOKUP("zzz",$A$7:A158) &amp; "'!C:C"), B158),
   0
)</f>
        <v>0</v>
      </c>
      <c r="D158" s="41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37"/>
      <c r="B159" s="36" t="s">
        <v>126</v>
      </c>
      <c r="C159" s="37">
        <f ca="1">IFERROR(
   COUNTIF(INDIRECT("'" &amp; LOOKUP("zzz",$A$7:A159) &amp; "'!C:C"), B159),
   0
)</f>
        <v>0</v>
      </c>
      <c r="D159" s="73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30" t="s">
        <v>36</v>
      </c>
      <c r="B160" s="34" t="s">
        <v>57</v>
      </c>
      <c r="C160" s="30">
        <f ca="1">IFERROR(
   COUNTIF(INDIRECT("'" &amp; LOOKUP("zzz",$A$7:A160) &amp; "'!C:C"), B160),
   0
)</f>
        <v>0</v>
      </c>
      <c r="D160" s="72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28"/>
      <c r="B161" s="32" t="s">
        <v>76</v>
      </c>
      <c r="C161" s="28">
        <f ca="1">IFERROR(
   COUNTIF(INDIRECT("'" &amp; LOOKUP("zzz",$A$7:A161) &amp; "'!C:C"), B161),
   0
)</f>
        <v>0</v>
      </c>
      <c r="D161" s="41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7"/>
      <c r="B162" s="36" t="s">
        <v>96</v>
      </c>
      <c r="C162" s="37">
        <f ca="1">IFERROR(
   COUNTIF(INDIRECT("'" &amp; LOOKUP("zzz",$A$7:A162) &amp; "'!C:C"), B162),
   0
)</f>
        <v>0</v>
      </c>
      <c r="D162" s="73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30" t="s">
        <v>37</v>
      </c>
      <c r="B163" s="34" t="s">
        <v>15</v>
      </c>
      <c r="C163" s="30">
        <f ca="1">IFERROR(
   COUNTIF(INDIRECT("'" &amp; LOOKUP("zzz",$A$7:A163) &amp; "'!C:C"), B163),
   0
)</f>
        <v>0</v>
      </c>
      <c r="D163" s="72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28"/>
      <c r="B164" s="32" t="s">
        <v>13</v>
      </c>
      <c r="C164" s="28">
        <f ca="1">IFERROR(
   COUNTIF(INDIRECT("'" &amp; LOOKUP("zzz",$A$7:A164) &amp; "'!C:C"), B164),
   0
)</f>
        <v>0</v>
      </c>
      <c r="D164" s="41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32" t="s">
        <v>97</v>
      </c>
      <c r="C165" s="28">
        <f ca="1">IFERROR(
   COUNTIF(INDIRECT("'" &amp; LOOKUP("zzz",$A$7:A165) &amp; "'!C:C"), B165),
   0
)</f>
        <v>0</v>
      </c>
      <c r="D165" s="41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113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14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134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28"/>
      <c r="B169" s="32" t="s">
        <v>11</v>
      </c>
      <c r="C169" s="28">
        <f ca="1">IFERROR(
   COUNTIF(INDIRECT("'" &amp; LOOKUP("zzz",$A$7:A169) &amp; "'!C:C"), B169),
   0
)</f>
        <v>0</v>
      </c>
      <c r="D169" s="41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7"/>
      <c r="B170" s="36" t="s">
        <v>138</v>
      </c>
      <c r="C170" s="37">
        <f ca="1">IFERROR(
   COUNTIF(INDIRECT("'" &amp; LOOKUP("zzz",$A$7:A170) &amp; "'!C:C"), B170),
   0
)</f>
        <v>0</v>
      </c>
      <c r="D170" s="73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39" t="s">
        <v>22</v>
      </c>
      <c r="B171" s="35" t="s">
        <v>40</v>
      </c>
      <c r="C171" s="30">
        <f ca="1">IFERROR(
   COUNTIF(INDIRECT("'" &amp; LOOKUP("zzz",$A$7:A171) &amp; "'!C:C"), B171),
   0
)</f>
        <v>0</v>
      </c>
      <c r="D171" s="72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9"/>
      <c r="B172" s="35" t="s">
        <v>59</v>
      </c>
      <c r="C172" s="30">
        <f ca="1">IFERROR(
   COUNTIF(INDIRECT("'" &amp; LOOKUP("zzz",$A$7:A172) &amp; "'!C:C"), B172),
   0
)</f>
        <v>0</v>
      </c>
      <c r="D172" s="42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/>
      <c r="B173" s="35" t="s">
        <v>320</v>
      </c>
      <c r="C173" s="30">
        <f ca="1">IFERROR(
   COUNTIF(INDIRECT("'" &amp; LOOKUP("zzz",$A$7:A173) &amp; "'!C:C"), B173),
   0
)</f>
        <v>0</v>
      </c>
      <c r="D173" s="4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321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39"/>
      <c r="B175" s="35" t="s">
        <v>98</v>
      </c>
      <c r="C175" s="30">
        <f ca="1">IFERROR(
   COUNTIF(INDIRECT("'" &amp; LOOKUP("zzz",$A$7:A175) &amp; "'!C:C"), B175),
   0
)</f>
        <v>0</v>
      </c>
      <c r="D175" s="42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29"/>
      <c r="B176" s="33" t="s">
        <v>317</v>
      </c>
      <c r="C176" s="28">
        <f ca="1">IFERROR(
   COUNTIF(INDIRECT("'" &amp; LOOKUP("zzz",$A$7:A176) &amp; "'!C:C"), B176),
   0
)</f>
        <v>0</v>
      </c>
      <c r="D176" s="41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61"/>
      <c r="B177" s="54" t="s">
        <v>332</v>
      </c>
      <c r="C177" s="43">
        <f ca="1">IFERROR(
   COUNTIF(INDIRECT("'" &amp; LOOKUP("zzz",$A$7:A177) &amp; "'!C:C"), B177),
   0
)</f>
        <v>0</v>
      </c>
      <c r="D177" s="73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63" t="s">
        <v>23</v>
      </c>
      <c r="B178" s="34" t="s">
        <v>60</v>
      </c>
      <c r="C178" s="65">
        <f ca="1">IFERROR(
   COUNTIF(INDIRECT("'" &amp; LOOKUP("zzz",$A$7:A178) &amp; "'!C:C"), B178),
   0
)</f>
        <v>0</v>
      </c>
      <c r="D178" s="72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29"/>
      <c r="B179" s="32" t="s">
        <v>79</v>
      </c>
      <c r="C179" s="28">
        <f ca="1">IFERROR(
   COUNTIF(INDIRECT("'" &amp; LOOKUP("zzz",$A$7:A179) &amp; "'!C:C"), B179),
   0
)</f>
        <v>0</v>
      </c>
      <c r="D179" s="41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29"/>
      <c r="B180" s="32" t="s">
        <v>99</v>
      </c>
      <c r="C180" s="28">
        <f ca="1">IFERROR(
   COUNTIF(INDIRECT("'" &amp; LOOKUP("zzz",$A$7:A180) &amp; "'!C:C"), B180),
   0
)</f>
        <v>0</v>
      </c>
      <c r="D180" s="41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9"/>
      <c r="B181" s="33" t="s">
        <v>115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8"/>
      <c r="B182" s="33" t="s">
        <v>127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9"/>
      <c r="B183" s="33" t="s">
        <v>135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28"/>
      <c r="B184" s="33" t="s">
        <v>137</v>
      </c>
      <c r="C184" s="28">
        <f ca="1">IFERROR(
   COUNTIF(INDIRECT("'" &amp; LOOKUP("zzz",$A$7:A184) &amp; "'!C:C"), B184),
   0
)</f>
        <v>0</v>
      </c>
      <c r="D184" s="41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40"/>
      <c r="B185" s="38" t="s">
        <v>139</v>
      </c>
      <c r="C185" s="37">
        <f ca="1">IFERROR(
   COUNTIF(INDIRECT("'" &amp; LOOKUP("zzz",$A$7:A185) &amp; "'!C:C"), B185),
   0
)</f>
        <v>0</v>
      </c>
      <c r="D185" s="73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39" t="s">
        <v>24</v>
      </c>
      <c r="B186" s="34" t="s">
        <v>42</v>
      </c>
      <c r="C186" s="30">
        <f ca="1">IFERROR(
   COUNTIF(INDIRECT("'" &amp; LOOKUP("zzz",$A$7:A186) &amp; "'!C:C"), B186),
   0
)</f>
        <v>0</v>
      </c>
      <c r="D186" s="72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39"/>
      <c r="B187" s="34" t="s">
        <v>186</v>
      </c>
      <c r="C187" s="30">
        <f ca="1">IFERROR(
   COUNTIF(INDIRECT("'" &amp; LOOKUP("zzz",$A$7:A187) &amp; "'!C:C"), B187),
   0
)</f>
        <v>0</v>
      </c>
      <c r="D187" s="41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29"/>
      <c r="B188" s="32" t="s">
        <v>62</v>
      </c>
      <c r="C188" s="28">
        <f ca="1">IFERROR(
   COUNTIF(INDIRECT("'" &amp; LOOKUP("zzz",$A$7:A188) &amp; "'!C:C"), B188),
   0
)</f>
        <v>0</v>
      </c>
      <c r="D188" s="41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40"/>
      <c r="B189" s="38" t="s">
        <v>81</v>
      </c>
      <c r="C189" s="37">
        <f ca="1">IFERROR(
   COUNTIF(INDIRECT("'" &amp; LOOKUP("zzz",$A$7:A189) &amp; "'!C:C"), B189),
   0
)</f>
        <v>0</v>
      </c>
      <c r="D189" s="73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39" t="s">
        <v>25</v>
      </c>
      <c r="B190" s="35" t="s">
        <v>43</v>
      </c>
      <c r="C190" s="30">
        <f ca="1">IFERROR(
   COUNTIF(INDIRECT("'" &amp; LOOKUP("zzz",$A$7:A190) &amp; "'!C:C"), B190),
   0
)</f>
        <v>0</v>
      </c>
      <c r="D190" s="72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28"/>
      <c r="B191" s="33" t="s">
        <v>63</v>
      </c>
      <c r="C191" s="28">
        <f ca="1">IFERROR(
   COUNTIF(INDIRECT("'" &amp; LOOKUP("zzz",$A$7:A191) &amp; "'!C:C"), B191),
   0
)</f>
        <v>0</v>
      </c>
      <c r="D191" s="41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29"/>
      <c r="B192" s="33" t="s">
        <v>82</v>
      </c>
      <c r="C192" s="28">
        <f ca="1">IFERROR(
   COUNTIF(INDIRECT("'" &amp; LOOKUP("zzz",$A$7:A192) &amp; "'!C:C"), B192),
   0
)</f>
        <v>0</v>
      </c>
      <c r="D192" s="41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8"/>
      <c r="B193" s="33" t="s">
        <v>100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8"/>
      <c r="B194" s="33" t="s">
        <v>333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29"/>
      <c r="B195" s="33" t="s">
        <v>117</v>
      </c>
      <c r="C195" s="28">
        <f ca="1">IFERROR(
   COUNTIF(INDIRECT("'" &amp; LOOKUP("zzz",$A$7:A195) &amp; "'!C:C"), B195),
   0
)</f>
        <v>0</v>
      </c>
      <c r="D195" s="41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40"/>
      <c r="B196" s="38" t="s">
        <v>128</v>
      </c>
      <c r="C196" s="37">
        <f ca="1">IFERROR(
   COUNTIF(INDIRECT("'" &amp; LOOKUP("zzz",$A$7:A196) &amp; "'!C:C"), B196),
   0
)</f>
        <v>0</v>
      </c>
      <c r="D196" s="73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39" t="s">
        <v>26</v>
      </c>
      <c r="B197" s="35" t="s">
        <v>44</v>
      </c>
      <c r="C197" s="30">
        <f ca="1">IFERROR(
   COUNTIF(INDIRECT("'" &amp; LOOKUP("zzz",$A$7:A197) &amp; "'!C:C"), B197),
   0
)</f>
        <v>0</v>
      </c>
      <c r="D197" s="72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39"/>
      <c r="B198" s="35" t="s">
        <v>195</v>
      </c>
      <c r="C198" s="30">
        <f ca="1">IFERROR(
   COUNTIF(INDIRECT("'" &amp; LOOKUP("zzz",$A$7:A198) &amp; "'!C:C"), B198),
   0
)</f>
        <v>0</v>
      </c>
      <c r="D198" s="41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29"/>
      <c r="B199" s="33" t="s">
        <v>64</v>
      </c>
      <c r="C199" s="28">
        <f ca="1">IFERROR(
   COUNTIF(INDIRECT("'" &amp; LOOKUP("zzz",$A$7:A199) &amp; "'!C:C"), B199),
   0
)</f>
        <v>0</v>
      </c>
      <c r="D199" s="41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29"/>
      <c r="B200" s="33" t="s">
        <v>83</v>
      </c>
      <c r="C200" s="28">
        <f ca="1">IFERROR(
   COUNTIF(INDIRECT("'" &amp; LOOKUP("zzz",$A$7:A200) &amp; "'!C:C"), B200),
   0
)</f>
        <v>0</v>
      </c>
      <c r="D200" s="41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40"/>
      <c r="B201" s="38" t="s">
        <v>101</v>
      </c>
      <c r="C201" s="37">
        <f ca="1">IFERROR(
   COUNTIF(INDIRECT("'" &amp; LOOKUP("zzz",$A$7:A201) &amp; "'!C:C"), B201),
   0
)</f>
        <v>0</v>
      </c>
      <c r="D201" s="73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30" t="s">
        <v>205</v>
      </c>
      <c r="B202" s="35" t="s">
        <v>45</v>
      </c>
      <c r="C202" s="30">
        <f ca="1">IFERROR(
   COUNTIF(INDIRECT("'" &amp; LOOKUP("zzz",$A$7:A202) &amp; "'!C:C"), B202),
   0
)</f>
        <v>0</v>
      </c>
      <c r="D202" s="72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29"/>
      <c r="B203" s="33" t="s">
        <v>65</v>
      </c>
      <c r="C203" s="28">
        <f ca="1">IFERROR(
   COUNTIF(INDIRECT("'" &amp; LOOKUP("zzz",$A$7:A203) &amp; "'!C:C"), B203),
   0
)</f>
        <v>0</v>
      </c>
      <c r="D203" s="41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28"/>
      <c r="B204" s="32" t="s">
        <v>84</v>
      </c>
      <c r="C204" s="28">
        <f ca="1">IFERROR(
   COUNTIF(INDIRECT("'" &amp; LOOKUP("zzz",$A$7:A204) &amp; "'!C:C"), B204),
   0
)</f>
        <v>0</v>
      </c>
      <c r="D204" s="41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9"/>
      <c r="B205" s="32" t="s">
        <v>102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29"/>
      <c r="B206" s="32" t="s">
        <v>118</v>
      </c>
      <c r="C206" s="28">
        <f ca="1">IFERROR(
   COUNTIF(INDIRECT("'" &amp; LOOKUP("zzz",$A$7:A206) &amp; "'!C:C"), B206),
   0
)</f>
        <v>0</v>
      </c>
      <c r="D206" s="41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61"/>
      <c r="B207" s="62" t="s">
        <v>129</v>
      </c>
      <c r="C207" s="43">
        <f ca="1">IFERROR(
   COUNTIF(INDIRECT("'" &amp; LOOKUP("zzz",$A$7:A207) &amp; "'!C:C"), B207),
   0
)</f>
        <v>0</v>
      </c>
      <c r="D207" s="73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28"/>
      <c r="B208" s="32" t="s">
        <v>229</v>
      </c>
      <c r="C208" s="28">
        <f ca="1">IFERROR(
   COUNTIF(INDIRECT("'" &amp; LOOKUP("zzz",$A$7:A208) &amp; "'!C:C"), B208),
   0
)</f>
        <v>0</v>
      </c>
      <c r="D208" s="4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28"/>
      <c r="B209" s="32" t="s">
        <v>228</v>
      </c>
      <c r="C209" s="28">
        <f ca="1">IFERROR(
   COUNTIF(INDIRECT("'" &amp; LOOKUP("zzz",$A$7:A209) &amp; "'!C:C"), B209),
   0
)</f>
        <v>0</v>
      </c>
      <c r="D209" s="41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53"/>
      <c r="B210" s="56" t="s">
        <v>227</v>
      </c>
      <c r="C210" s="53">
        <f ca="1">IFERROR(
   COUNTIF(INDIRECT("'" &amp; LOOKUP("zzz",$A$7:A210) &amp; "'!C:C"), B210),
   0
)</f>
        <v>0</v>
      </c>
      <c r="D210" s="73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39" t="s">
        <v>39</v>
      </c>
      <c r="B211" s="35" t="s">
        <v>334</v>
      </c>
      <c r="C211" s="30">
        <f ca="1">IFERROR(
   COUNTIF(INDIRECT("'" &amp; LOOKUP("zzz",$A$7:A211) &amp; "'!C:C"), B211),
   0
)</f>
        <v>0</v>
      </c>
      <c r="D211" s="72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28"/>
      <c r="B212" s="33" t="s">
        <v>335</v>
      </c>
      <c r="C212" s="28">
        <f ca="1">IFERROR(
   COUNTIF(INDIRECT("'" &amp; LOOKUP("zzz",$A$7:A212) &amp; "'!C:C"), B212),
   0
)</f>
        <v>0</v>
      </c>
      <c r="D212" s="41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28"/>
      <c r="B213" s="33" t="s">
        <v>336</v>
      </c>
      <c r="C213" s="28">
        <f ca="1">IFERROR(
   COUNTIF(INDIRECT("'" &amp; LOOKUP("zzz",$A$7:A213) &amp; "'!C:C"), B213),
   0
)</f>
        <v>0</v>
      </c>
      <c r="D213" s="41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46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8"/>
      <c r="B215" s="33" t="s">
        <v>66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29"/>
      <c r="B216" s="33" t="s">
        <v>85</v>
      </c>
      <c r="C216" s="28">
        <f ca="1">IFERROR(
   COUNTIF(INDIRECT("'" &amp; LOOKUP("zzz",$A$7:A216) &amp; "'!C:C"), B216),
   0
)</f>
        <v>0</v>
      </c>
      <c r="D216" s="41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37"/>
      <c r="B217" s="38" t="s">
        <v>103</v>
      </c>
      <c r="C217" s="37">
        <f ca="1">IFERROR(
   COUNTIF(INDIRECT("'" &amp; LOOKUP("zzz",$A$7:A217) &amp; "'!C:C"), B217),
   0
)</f>
        <v>0</v>
      </c>
      <c r="D217" s="73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39" t="s">
        <v>355</v>
      </c>
      <c r="B218" s="35" t="s">
        <v>47</v>
      </c>
      <c r="C218" s="30">
        <f ca="1">IFERROR(
   COUNTIF(INDIRECT("'" &amp; LOOKUP("zzz",$A$7:A218) &amp; "'!C:C"), B218),
   0
)</f>
        <v>0</v>
      </c>
      <c r="D218" s="72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29"/>
      <c r="B219" s="33" t="s">
        <v>67</v>
      </c>
      <c r="C219" s="28">
        <f ca="1">IFERROR(
   COUNTIF(INDIRECT("'" &amp; LOOKUP("zzz",$A$7:A219) &amp; "'!C:C"), B219),
   0
)</f>
        <v>0</v>
      </c>
      <c r="D219" s="41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29"/>
      <c r="B220" s="33" t="s">
        <v>86</v>
      </c>
      <c r="C220" s="28">
        <f ca="1">IFERROR(
   COUNTIF(INDIRECT("'" &amp; LOOKUP("zzz",$A$7:A220) &amp; "'!C:C"), B220),
   0
)</f>
        <v>0</v>
      </c>
      <c r="D220" s="41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40"/>
      <c r="B221" s="38" t="s">
        <v>104</v>
      </c>
      <c r="C221" s="37">
        <f ca="1">IFERROR(
   COUNTIF(INDIRECT("'" &amp; LOOKUP("zzz",$A$7:A221) &amp; "'!C:C"), B221),
   0
)</f>
        <v>0</v>
      </c>
      <c r="D221" s="73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29" t="s">
        <v>354</v>
      </c>
      <c r="B222" s="35" t="s">
        <v>143</v>
      </c>
      <c r="C222" s="30">
        <f ca="1">IFERROR(
   COUNTIF(INDIRECT("'" &amp; LOOKUP("zzz",$A$7:A222) &amp; "'!C:C"), B222),
   0
)</f>
        <v>0</v>
      </c>
      <c r="D222" s="85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39"/>
      <c r="B223" s="35" t="s">
        <v>298</v>
      </c>
      <c r="C223" s="30">
        <f ca="1">IFERROR(
   COUNTIF(INDIRECT("'" &amp; LOOKUP("zzz",$A$7:A223) &amp; "'!C:C"), B223),
   0
)</f>
        <v>0</v>
      </c>
      <c r="D223" s="42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39"/>
      <c r="B224" s="35" t="s">
        <v>140</v>
      </c>
      <c r="C224" s="30">
        <f ca="1">IFERROR(
   COUNTIF(INDIRECT("'" &amp; LOOKUP("zzz",$A$7:A224) &amp; "'!C:C"), B224),
   0
)</f>
        <v>0</v>
      </c>
      <c r="D224" s="42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39"/>
      <c r="B225" s="35" t="s">
        <v>248</v>
      </c>
      <c r="C225" s="30">
        <f ca="1">IFERROR(
   COUNTIF(INDIRECT("'" &amp; LOOKUP("zzz",$A$7:A225) &amp; "'!C:C"), B225),
   0
)</f>
        <v>0</v>
      </c>
      <c r="D225" s="42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9"/>
      <c r="B226" s="35" t="s">
        <v>356</v>
      </c>
      <c r="C226" s="30">
        <f ca="1">IFERROR(
   COUNTIF(INDIRECT("'" &amp; LOOKUP("zzz",$A$7:A226) &amp; "'!C:C"), B226),
   0
)</f>
        <v>0</v>
      </c>
      <c r="D226" s="42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39"/>
      <c r="B227" s="35" t="s">
        <v>357</v>
      </c>
      <c r="C227" s="30">
        <f ca="1">IFERROR(
   COUNTIF(INDIRECT("'" &amp; LOOKUP("zzz",$A$7:A227) &amp; "'!C:C"), B227),
   0
)</f>
        <v>0</v>
      </c>
      <c r="D227" s="42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39"/>
      <c r="B228" s="35" t="s">
        <v>358</v>
      </c>
      <c r="C228" s="30">
        <f ca="1">IFERROR(
   COUNTIF(INDIRECT("'" &amp; LOOKUP("zzz",$A$7:A228) &amp; "'!C:C"), B228),
   0
)</f>
        <v>0</v>
      </c>
      <c r="D228" s="42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39"/>
      <c r="B229" s="35" t="s">
        <v>359</v>
      </c>
      <c r="C229" s="30">
        <f ca="1">IFERROR(
   COUNTIF(INDIRECT("'" &amp; LOOKUP("zzz",$A$7:A229) &amp; "'!C:C"), B229),
   0
)</f>
        <v>0</v>
      </c>
      <c r="D229" s="42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39"/>
      <c r="B230" s="35" t="s">
        <v>270</v>
      </c>
      <c r="C230" s="30">
        <f ca="1">IFERROR(
   COUNTIF(INDIRECT("'" &amp; LOOKUP("zzz",$A$7:A230) &amp; "'!C:C"), B230),
   0
)</f>
        <v>0</v>
      </c>
      <c r="D230" s="42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39"/>
      <c r="B231" s="35" t="s">
        <v>360</v>
      </c>
      <c r="C231" s="30">
        <f ca="1">IFERROR(
   COUNTIF(INDIRECT("'" &amp; LOOKUP("zzz",$A$7:A231) &amp; "'!C:C"), B231),
   0
)</f>
        <v>0</v>
      </c>
      <c r="D231" s="42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39"/>
      <c r="B232" s="35" t="s">
        <v>361</v>
      </c>
      <c r="C232" s="30">
        <f ca="1">IFERROR(
   COUNTIF(INDIRECT("'" &amp; LOOKUP("zzz",$A$7:A232) &amp; "'!C:C"), B232),
   0
)</f>
        <v>0</v>
      </c>
      <c r="D232" s="42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67"/>
      <c r="B233" s="68" t="s">
        <v>362</v>
      </c>
      <c r="C233" s="45">
        <f ca="1">IFERROR(
   COUNTIF(INDIRECT("'" &amp; LOOKUP("zzz",$A$7:A233) &amp; "'!C:C"), B233),
   0
)</f>
        <v>0</v>
      </c>
      <c r="D233" s="84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63" t="s">
        <v>209</v>
      </c>
      <c r="B234" s="64" t="s">
        <v>217</v>
      </c>
      <c r="C234" s="65">
        <f ca="1">IFERROR(
   COUNTIF(INDIRECT("'" &amp; LOOKUP("zzz",$A$7:A234) &amp; "'!C:C"), B234),
   0
)</f>
        <v>0</v>
      </c>
      <c r="D234" s="72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55"/>
      <c r="B235" s="54" t="s">
        <v>216</v>
      </c>
      <c r="C235" s="53">
        <f ca="1">IFERROR(
   COUNTIF(INDIRECT("'" &amp; LOOKUP("zzz",$A$7:A235) &amp; "'!C:C"), B235),
   0
)</f>
        <v>0</v>
      </c>
      <c r="D235" s="73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39" t="s">
        <v>208</v>
      </c>
      <c r="B236" s="35" t="s">
        <v>222</v>
      </c>
      <c r="C236" s="30">
        <f ca="1">IFERROR(
   COUNTIF(INDIRECT("'" &amp; LOOKUP("zzz",$A$7:A236) &amp; "'!C:C"), B236),
   0
)</f>
        <v>0</v>
      </c>
      <c r="D236" s="72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8"/>
      <c r="B237" s="32" t="s">
        <v>221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28"/>
      <c r="B238" s="32" t="s">
        <v>220</v>
      </c>
      <c r="C238" s="28">
        <f ca="1">IFERROR(
   COUNTIF(INDIRECT("'" &amp; LOOKUP("zzz",$A$7:A238) &amp; "'!C:C"), B238),
   0
)</f>
        <v>0</v>
      </c>
      <c r="D238" s="41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29"/>
      <c r="B239" s="32" t="s">
        <v>219</v>
      </c>
      <c r="C239" s="28">
        <f ca="1">IFERROR(
   COUNTIF(INDIRECT("'" &amp; LOOKUP("zzz",$A$7:A239) &amp; "'!C:C"), B239),
   0
)</f>
        <v>0</v>
      </c>
      <c r="D239" s="41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55"/>
      <c r="B240" s="56" t="s">
        <v>218</v>
      </c>
      <c r="C240" s="53">
        <f ca="1">IFERROR(
   COUNTIF(INDIRECT("'" &amp; LOOKUP("zzz",$A$7:A240) &amp; "'!C:C"), B240),
   0
)</f>
        <v>0</v>
      </c>
      <c r="D240" s="73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39" t="s">
        <v>207</v>
      </c>
      <c r="B241" s="35" t="s">
        <v>226</v>
      </c>
      <c r="C241" s="30">
        <f ca="1">IFERROR(
   COUNTIF(INDIRECT("'" &amp; LOOKUP("zzz",$A$7:A241) &amp; "'!C:C"), B241),
   0
)</f>
        <v>0</v>
      </c>
      <c r="D241" s="72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39"/>
      <c r="B242" s="35" t="s">
        <v>225</v>
      </c>
      <c r="C242" s="28">
        <f ca="1">IFERROR(
   COUNTIF(INDIRECT("'" &amp; LOOKUP("zzz",$A$7:A242) &amp; "'!C:C"), B242),
   0
)</f>
        <v>0</v>
      </c>
      <c r="D242" s="41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29"/>
      <c r="B243" s="33" t="s">
        <v>224</v>
      </c>
      <c r="C243" s="28">
        <f ca="1">IFERROR(
   COUNTIF(INDIRECT("'" &amp; LOOKUP("zzz",$A$7:A243) &amp; "'!C:C"), B243),
   0
)</f>
        <v>0</v>
      </c>
      <c r="D243" s="41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55"/>
      <c r="B244" s="54" t="s">
        <v>223</v>
      </c>
      <c r="C244" s="53">
        <f ca="1">IFERROR(
   COUNTIF(INDIRECT("'" &amp; LOOKUP("zzz",$A$7:A244) &amp; "'!C:C"), B244),
   0
)</f>
        <v>0</v>
      </c>
      <c r="D244" s="73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39" t="s">
        <v>27</v>
      </c>
      <c r="B245" s="35" t="s">
        <v>48</v>
      </c>
      <c r="C245" s="30">
        <f ca="1">IFERROR(
   COUNTIF(INDIRECT("'" &amp; LOOKUP("zzz",$A$7:A245) &amp; "'!C:C"), B245),
   0
)</f>
        <v>0</v>
      </c>
      <c r="D245" s="72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29"/>
      <c r="B246" s="33" t="s">
        <v>68</v>
      </c>
      <c r="C246" s="28">
        <f ca="1">IFERROR(
   COUNTIF(INDIRECT("'" &amp; LOOKUP("zzz",$A$7:A246) &amp; "'!C:C"), B246),
   0
)</f>
        <v>0</v>
      </c>
      <c r="D246" s="41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29"/>
      <c r="B247" s="33" t="s">
        <v>87</v>
      </c>
      <c r="C247" s="28">
        <f ca="1">IFERROR(
   COUNTIF(INDIRECT("'" &amp; LOOKUP("zzz",$A$7:A247) &amp; "'!C:C"), B247),
   0
)</f>
        <v>0</v>
      </c>
      <c r="D247" s="41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29"/>
      <c r="B248" s="33" t="s">
        <v>105</v>
      </c>
      <c r="C248" s="28">
        <f ca="1">IFERROR(
   COUNTIF(INDIRECT("'" &amp; LOOKUP("zzz",$A$7:A248) &amp; "'!C:C"), B248),
   0
)</f>
        <v>0</v>
      </c>
      <c r="D248" s="41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37"/>
      <c r="B249" s="36" t="s">
        <v>119</v>
      </c>
      <c r="C249" s="37">
        <f ca="1">IFERROR(
   COUNTIF(INDIRECT("'" &amp; LOOKUP("zzz",$A$7:A249) &amp; "'!C:C"), B249),
   0
)</f>
        <v>0</v>
      </c>
      <c r="D249" s="73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39" t="s">
        <v>28</v>
      </c>
      <c r="B250" s="34" t="s">
        <v>49</v>
      </c>
      <c r="C250" s="30">
        <f ca="1">IFERROR(
   COUNTIF(INDIRECT("'" &amp; LOOKUP("zzz",$A$7:A250) &amp; "'!C:C"), B250),
   0
)</f>
        <v>0</v>
      </c>
      <c r="D250" s="72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29"/>
      <c r="B251" s="32" t="s">
        <v>69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29"/>
      <c r="B252" s="33" t="s">
        <v>88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29"/>
      <c r="B253" s="33" t="s">
        <v>106</v>
      </c>
      <c r="C253" s="28">
        <f ca="1">IFERROR(
   COUNTIF(INDIRECT("'" &amp; LOOKUP("zzz",$A$7:A253) &amp; "'!C:C"), B253),
   0
)</f>
        <v>0</v>
      </c>
      <c r="D253" s="41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28"/>
      <c r="B254" s="33" t="s">
        <v>120</v>
      </c>
      <c r="C254" s="28">
        <f ca="1">IFERROR(
   COUNTIF(INDIRECT("'" &amp; LOOKUP("zzz",$A$7:A254) &amp; "'!C:C"), B254),
   0
)</f>
        <v>0</v>
      </c>
      <c r="D254" s="41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40"/>
      <c r="B255" s="38" t="s">
        <v>130</v>
      </c>
      <c r="C255" s="37">
        <f ca="1">IFERROR(
   COUNTIF(INDIRECT("'" &amp; LOOKUP("zzz",$A$7:A255) &amp; "'!C:C"), B255),
   0
)</f>
        <v>0</v>
      </c>
      <c r="D255" s="73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58" t="s">
        <v>38</v>
      </c>
      <c r="B256" s="59" t="s">
        <v>17</v>
      </c>
      <c r="C256" s="58">
        <f ca="1">IFERROR(
   COUNTIF(INDIRECT("'" &amp; LOOKUP("zzz",$A$7:A256) &amp; "'!C:C"), B256),
   0
)</f>
        <v>0</v>
      </c>
      <c r="D256" s="72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337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28"/>
      <c r="B258" s="32" t="s">
        <v>78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28"/>
      <c r="B259" s="32" t="s">
        <v>41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154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43"/>
      <c r="B261" s="52" t="s">
        <v>316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43"/>
      <c r="B262" s="52" t="s">
        <v>258</v>
      </c>
      <c r="C262" s="28">
        <f ca="1">IFERROR(
   COUNTIF(INDIRECT("'" &amp; LOOKUP("zzz",$A$7:A262) &amp; "'!C:C"), B262),
   0
)</f>
        <v>0</v>
      </c>
      <c r="D262" s="41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28"/>
      <c r="B263" s="32" t="s">
        <v>260</v>
      </c>
      <c r="C263" s="28">
        <f ca="1">IFERROR(
   COUNTIF(INDIRECT("'" &amp; LOOKUP("zzz",$A$7:A263) &amp; "'!C:C"), B263),
   0
)</f>
        <v>0</v>
      </c>
      <c r="D263" s="41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28"/>
      <c r="B264" s="32" t="s">
        <v>259</v>
      </c>
      <c r="C264" s="28">
        <f ca="1">IFERROR(
   COUNTIF(INDIRECT("'" &amp; LOOKUP("zzz",$A$7:A264) &amp; "'!C:C"), B264),
   0
)</f>
        <v>0</v>
      </c>
      <c r="D264" s="73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60" t="s">
        <v>21</v>
      </c>
      <c r="B265" s="48" t="s">
        <v>318</v>
      </c>
      <c r="C265" s="47">
        <f ca="1">IFERROR(
   COUNTIF(INDIRECT("'" &amp; LOOKUP("zzz",$A$7:A265) &amp; "'!C:C"), B265),
   0
)</f>
        <v>0</v>
      </c>
      <c r="D265" s="72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28"/>
      <c r="B266" s="32" t="s">
        <v>194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28"/>
      <c r="B267" s="32" t="s">
        <v>58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28"/>
      <c r="B268" s="32" t="s">
        <v>77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43"/>
      <c r="B269" s="52" t="s">
        <v>353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43"/>
      <c r="B270" s="52" t="s">
        <v>191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43"/>
      <c r="B271" s="52" t="s">
        <v>338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43"/>
      <c r="B272" s="52" t="s">
        <v>193</v>
      </c>
      <c r="C272" s="28">
        <f ca="1">IFERROR(
   COUNTIF(INDIRECT("'" &amp; LOOKUP("zzz",$A$7:A272) &amp; "'!C:C"), B272),
   0
)</f>
        <v>0</v>
      </c>
      <c r="D272" s="41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43"/>
      <c r="B273" s="52" t="s">
        <v>192</v>
      </c>
      <c r="C273" s="28">
        <f ca="1">IFERROR(
   COUNTIF(INDIRECT("'" &amp; LOOKUP("zzz",$A$7:A273) &amp; "'!C:C"), B273),
   0
)</f>
        <v>0</v>
      </c>
      <c r="D273" s="41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37"/>
      <c r="B274" s="36" t="s">
        <v>114</v>
      </c>
      <c r="C274" s="37">
        <f ca="1">IFERROR(
   COUNTIF(INDIRECT("'" &amp; LOOKUP("zzz",$A$7:A274) &amp; "'!C:C"), B274),
   0
)</f>
        <v>0</v>
      </c>
      <c r="D274" s="73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 t="s">
        <v>322</v>
      </c>
      <c r="B275" s="35" t="s">
        <v>212</v>
      </c>
      <c r="C275" s="30">
        <f ca="1">IFERROR(
   COUNTIF(INDIRECT("'" &amp; LOOKUP("zzz",$A$7:A275) &amp; "'!C:C"), B275),
   0
)</f>
        <v>0</v>
      </c>
      <c r="D275" s="72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9"/>
      <c r="B276" s="35" t="s">
        <v>16</v>
      </c>
      <c r="C276" s="28">
        <f ca="1">IFERROR(
   COUNTIF(INDIRECT("'" &amp; LOOKUP("zzz",$A$7:A276) &amp; "'!C:C"), B276),
   0
)</f>
        <v>0</v>
      </c>
      <c r="D276" s="41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39"/>
      <c r="B277" s="33" t="s">
        <v>61</v>
      </c>
      <c r="C277" s="28">
        <f ca="1">IFERROR(
   COUNTIF(INDIRECT("'" &amp; LOOKUP("zzz",$A$7:A277) &amp; "'!C:C"), B277),
   0
)</f>
        <v>0</v>
      </c>
      <c r="D277" s="4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39"/>
      <c r="B278" s="33" t="s">
        <v>80</v>
      </c>
      <c r="C278" s="28">
        <f ca="1">IFERROR(
   COUNTIF(INDIRECT("'" &amp; LOOKUP("zzz",$A$7:A278) &amp; "'!C:C"), B278),
   0
)</f>
        <v>0</v>
      </c>
      <c r="D278" s="41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/>
      <c r="B279" s="33" t="s">
        <v>116</v>
      </c>
      <c r="C279" s="28">
        <f ca="1">IFERROR(
   COUNTIF(INDIRECT("'" &amp; LOOKUP("zzz",$A$7:A279) &amp; "'!C:C"), B279),
   0
)</f>
        <v>0</v>
      </c>
      <c r="D279" s="41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39"/>
      <c r="B280" s="33" t="s">
        <v>339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39"/>
      <c r="B281" s="33" t="s">
        <v>136</v>
      </c>
      <c r="C281" s="28">
        <f ca="1">IFERROR(
   COUNTIF(INDIRECT("'" &amp; LOOKUP("zzz",$A$7:A281) &amp; "'!C:C"), B281),
   0
)</f>
        <v>0</v>
      </c>
      <c r="D281" s="41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28"/>
      <c r="B282" s="33" t="s">
        <v>211</v>
      </c>
      <c r="C282" s="28">
        <f ca="1">IFERROR(
   COUNTIF(INDIRECT("'" &amp; LOOKUP("zzz",$A$7:A282) &amp; "'!C:C"), B282),
   0
)</f>
        <v>0</v>
      </c>
      <c r="D282" s="41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61"/>
      <c r="B283" s="62" t="s">
        <v>210</v>
      </c>
      <c r="C283" s="43">
        <f ca="1">IFERROR(
   COUNTIF(INDIRECT("'" &amp; LOOKUP("zzz",$A$7:A283) &amp; "'!C:C"), B283),
   0
)</f>
        <v>0</v>
      </c>
      <c r="D283" s="73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60" t="s">
        <v>206</v>
      </c>
      <c r="B284" s="48" t="s">
        <v>215</v>
      </c>
      <c r="C284" s="47">
        <f ca="1">IFERROR(
   COUNTIF(INDIRECT("'" &amp; LOOKUP("zzz",$A$7:A284) &amp; "'!C:C"), B284),
   0
)</f>
        <v>0</v>
      </c>
      <c r="D284" s="72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39"/>
      <c r="B285" s="34" t="s">
        <v>213</v>
      </c>
      <c r="C285" s="30">
        <f ca="1">IFERROR(
   COUNTIF(INDIRECT("'" &amp; LOOKUP("zzz",$A$7:A285) &amp; "'!C:C"), B285),
   0
)</f>
        <v>0</v>
      </c>
      <c r="D285" s="42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39"/>
      <c r="B286" s="34" t="s">
        <v>340</v>
      </c>
      <c r="C286" s="30">
        <f ca="1">IFERROR(
   COUNTIF(INDIRECT("'" &amp; LOOKUP("zzz",$A$7:A286) &amp; "'!C:C"), B286),
   0
)</f>
        <v>0</v>
      </c>
      <c r="D286" s="42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29"/>
      <c r="B287" s="32" t="s">
        <v>341</v>
      </c>
      <c r="C287" s="28">
        <f ca="1">IFERROR(
   COUNTIF(INDIRECT("'" &amp; LOOKUP("zzz",$A$7:A287) &amp; "'!C:C"), B287),
   0
)</f>
        <v>0</v>
      </c>
      <c r="D287" s="41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40"/>
      <c r="B288" s="38" t="s">
        <v>214</v>
      </c>
      <c r="C288" s="37">
        <f ca="1">IFERROR(
   COUNTIF(INDIRECT("'" &amp; LOOKUP("zzz",$A$7:A288) &amp; "'!C:C"), B288),
   0
)</f>
        <v>0</v>
      </c>
      <c r="D288" s="73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39" t="s">
        <v>266</v>
      </c>
      <c r="B289" s="35" t="s">
        <v>267</v>
      </c>
      <c r="C289" s="30">
        <f ca="1">IFERROR(
   COUNTIF(INDIRECT("'" &amp; LOOKUP("zzz",$A$7:A289) &amp; "'!C:C"), B289),
   0
)</f>
        <v>0</v>
      </c>
      <c r="D289" s="72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39"/>
      <c r="B290" s="35" t="s">
        <v>268</v>
      </c>
      <c r="C290" s="28">
        <f ca="1">IFERROR(
   COUNTIF(INDIRECT("'" &amp; LOOKUP("zzz",$A$7:A290) &amp; "'!C:C"), B290),
   0
)</f>
        <v>0</v>
      </c>
      <c r="D290" s="41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28"/>
      <c r="B291" s="33" t="s">
        <v>269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39"/>
      <c r="B292" s="35" t="s">
        <v>270</v>
      </c>
      <c r="C292" s="28">
        <f ca="1">IFERROR(
   COUNTIF(INDIRECT("'" &amp; LOOKUP("zzz",$A$7:A292) &amp; "'!C:C"), B292),
   0
)</f>
        <v>0</v>
      </c>
      <c r="D292" s="41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28"/>
      <c r="B293" s="33" t="s">
        <v>271</v>
      </c>
      <c r="C293" s="28">
        <f ca="1">IFERROR(
   COUNTIF(INDIRECT("'" &amp; LOOKUP("zzz",$A$7:A293) &amp; "'!C:C"), B293),
   0
)</f>
        <v>0</v>
      </c>
      <c r="D293" s="41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67"/>
      <c r="B294" s="68" t="s">
        <v>272</v>
      </c>
      <c r="C294" s="43">
        <f ca="1">IFERROR(
   COUNTIF(INDIRECT("'" &amp; LOOKUP("zzz",$A$7:A294) &amp; "'!C:C"), B294),
   0
)</f>
        <v>0</v>
      </c>
      <c r="D294" s="73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63" t="s">
        <v>280</v>
      </c>
      <c r="B295" s="64" t="s">
        <v>282</v>
      </c>
      <c r="C295" s="65">
        <f ca="1">IFERROR(
   COUNTIF(INDIRECT("'" &amp; LOOKUP("zzz",$A$7:A295) &amp; "'!C:C"), B295),
   0
)</f>
        <v>0</v>
      </c>
      <c r="D295" s="72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39"/>
      <c r="B296" s="35" t="s">
        <v>275</v>
      </c>
      <c r="C296" s="28">
        <f ca="1">IFERROR(
   COUNTIF(INDIRECT("'" &amp; LOOKUP("zzz",$A$7:A296) &amp; "'!C:C"), B296),
   0
)</f>
        <v>0</v>
      </c>
      <c r="D296" s="41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28"/>
      <c r="B297" s="33" t="s">
        <v>283</v>
      </c>
      <c r="C297" s="28">
        <f ca="1">IFERROR(
   COUNTIF(INDIRECT("'" &amp; LOOKUP("zzz",$A$7:A297) &amp; "'!C:C"), B297),
   0
)</f>
        <v>0</v>
      </c>
      <c r="D297" s="41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39"/>
      <c r="B298" s="35" t="s">
        <v>276</v>
      </c>
      <c r="C298" s="28">
        <f ca="1">IFERROR(
   COUNTIF(INDIRECT("'" &amp; LOOKUP("zzz",$A$7:A298) &amp; "'!C:C"), B298),
   0
)</f>
        <v>0</v>
      </c>
      <c r="D298" s="41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28"/>
      <c r="B299" s="33" t="s">
        <v>274</v>
      </c>
      <c r="C299" s="28">
        <f ca="1">IFERROR(
   COUNTIF(INDIRECT("'" &amp; LOOKUP("zzz",$A$7:A299) &amp; "'!C:C"), B299),
   0
)</f>
        <v>0</v>
      </c>
      <c r="D299" s="73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63" t="s">
        <v>281</v>
      </c>
      <c r="B300" s="64" t="s">
        <v>284</v>
      </c>
      <c r="C300" s="65">
        <f ca="1">IFERROR(
   COUNTIF(INDIRECT("'" &amp; LOOKUP("zzz",$A$7:A300) &amp; "'!C:C"), B300),
   0
)</f>
        <v>0</v>
      </c>
      <c r="D300" s="72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39"/>
      <c r="B301" s="35" t="s">
        <v>279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  <row r="302" spans="1:4" ht="50" customHeight="1" x14ac:dyDescent="0.2">
      <c r="A302" s="28"/>
      <c r="B302" s="33" t="s">
        <v>285</v>
      </c>
      <c r="C302" s="28">
        <f ca="1">IFERROR(
   COUNTIF(INDIRECT("'" &amp; LOOKUP("zzz",$A$7:A302) &amp; "'!C:C"), B302),
   0
)</f>
        <v>0</v>
      </c>
      <c r="D302" s="41" cm="1">
        <f t="array" aca="1" ref="D302" ca="1">IFERROR(
  COUNTIFS(
    INDIRECT("'" &amp; LOOKUP(2,1/($A$7:A302&lt;&gt;""),$A$7:A302) &amp; "'!C:C"), $B302,
    INDIRECT("'" &amp; LOOKUP(2,1/($A$7:A302&lt;&gt;""),$A$7:A302) &amp; "'!E:E"), "&gt;=" &amp; ($B$3-6),
    INDIRECT("'" &amp; LOOKUP(2,1/($A$7:A302&lt;&gt;""),$A$7:A302) &amp; "'!E:E"), "&lt;=" &amp; $B$3
  ),
0)</f>
        <v>0</v>
      </c>
    </row>
    <row r="303" spans="1:4" ht="50" customHeight="1" x14ac:dyDescent="0.2">
      <c r="A303" s="39"/>
      <c r="B303" s="35" t="s">
        <v>278</v>
      </c>
      <c r="C303" s="28">
        <f ca="1">IFERROR(
   COUNTIF(INDIRECT("'" &amp; LOOKUP("zzz",$A$7:A303) &amp; "'!C:C"), B303),
   0
)</f>
        <v>0</v>
      </c>
      <c r="D303" s="41" cm="1">
        <f t="array" aca="1" ref="D303" ca="1">IFERROR(
  COUNTIFS(
    INDIRECT("'" &amp; LOOKUP(2,1/($A$7:A303&lt;&gt;""),$A$7:A303) &amp; "'!C:C"), $B303,
    INDIRECT("'" &amp; LOOKUP(2,1/($A$7:A303&lt;&gt;""),$A$7:A303) &amp; "'!E:E"), "&gt;=" &amp; ($B$3-6),
    INDIRECT("'" &amp; LOOKUP(2,1/($A$7:A303&lt;&gt;""),$A$7:A303) &amp; "'!E:E"), "&lt;=" &amp; $B$3
  ),
0)</f>
        <v>0</v>
      </c>
    </row>
    <row r="304" spans="1:4" ht="50" customHeight="1" x14ac:dyDescent="0.2">
      <c r="A304" s="28"/>
      <c r="B304" s="33" t="s">
        <v>277</v>
      </c>
      <c r="C304" s="28">
        <f ca="1">IFERROR(
   COUNTIF(INDIRECT("'" &amp; LOOKUP("zzz",$A$7:A304) &amp; "'!C:C"), B304),
   0
)</f>
        <v>0</v>
      </c>
      <c r="D304" s="41" cm="1">
        <f t="array" aca="1" ref="D304" ca="1">IFERROR(
  COUNTIFS(
    INDIRECT("'" &amp; LOOKUP(2,1/($A$7:A304&lt;&gt;""),$A$7:A304) &amp; "'!C:C"), $B304,
    INDIRECT("'" &amp; LOOKUP(2,1/($A$7:A304&lt;&gt;""),$A$7:A304) &amp; "'!E:E"), "&gt;=" &amp; ($B$3-6),
    INDIRECT("'" &amp; LOOKUP(2,1/($A$7:A304&lt;&gt;""),$A$7:A304) &amp; "'!E:E"), "&lt;=" &amp; $B$3
  ),
0)</f>
        <v>0</v>
      </c>
    </row>
    <row r="305" spans="1:4" ht="50" customHeight="1" x14ac:dyDescent="0.2">
      <c r="A305" s="39"/>
      <c r="B305" s="35" t="s">
        <v>286</v>
      </c>
      <c r="C305" s="28">
        <f ca="1">IFERROR(
   COUNTIF(INDIRECT("'" &amp; LOOKUP("zzz",$A$7:A305) &amp; "'!C:C"), B305),
   0
)</f>
        <v>0</v>
      </c>
      <c r="D305" s="41" cm="1">
        <f t="array" aca="1" ref="D305" ca="1">IFERROR(
  COUNTIFS(
    INDIRECT("'" &amp; LOOKUP(2,1/($A$7:A305&lt;&gt;""),$A$7:A305) &amp; "'!C:C"), $B305,
    INDIRECT("'" &amp; LOOKUP(2,1/($A$7:A305&lt;&gt;""),$A$7:A305) &amp; "'!E:E"), "&gt;=" &amp; ($B$3-6),
    INDIRECT("'" &amp; LOOKUP(2,1/($A$7:A305&lt;&gt;""),$A$7:A305) &amp; "'!E:E"), "&lt;=" &amp; $B$3
  ),
0)</f>
        <v>0</v>
      </c>
    </row>
    <row r="306" spans="1:4" ht="50" customHeight="1" x14ac:dyDescent="0.2">
      <c r="A306" s="28"/>
      <c r="B306" s="33" t="s">
        <v>287</v>
      </c>
      <c r="C306" s="28">
        <f ca="1">IFERROR(
   COUNTIF(INDIRECT("'" &amp; LOOKUP("zzz",$A$7:A306) &amp; "'!C:C"), B306),
   0
)</f>
        <v>0</v>
      </c>
      <c r="D306" s="41" cm="1">
        <f t="array" aca="1" ref="D306" ca="1">IFERROR(
  COUNTIFS(
    INDIRECT("'" &amp; LOOKUP(2,1/($A$7:A306&lt;&gt;""),$A$7:A306) &amp; "'!C:C"), $B306,
    INDIRECT("'" &amp; LOOKUP(2,1/($A$7:A306&lt;&gt;""),$A$7:A306) &amp; "'!E:E"), "&gt;=" &amp; ($B$3-6),
    INDIRECT("'" &amp; LOOKUP(2,1/($A$7:A306&lt;&gt;""),$A$7:A306) &amp; "'!E:E"), "&lt;=" &amp; $B$3
  ),
0)</f>
        <v>0</v>
      </c>
    </row>
    <row r="307" spans="1:4" ht="50" customHeight="1" x14ac:dyDescent="0.2">
      <c r="A307" s="63" t="s">
        <v>342</v>
      </c>
      <c r="B307" s="64" t="s">
        <v>343</v>
      </c>
      <c r="C307" s="65">
        <f ca="1">IFERROR(
   COUNTIF(INDIRECT("'" &amp; LOOKUP("zzz",$A$7:A307) &amp; "'!C:C"), B307),
   0
)</f>
        <v>0</v>
      </c>
      <c r="D307" s="72" cm="1">
        <f t="array" aca="1" ref="D307" ca="1">IFERROR(
  COUNTIFS(
    INDIRECT("'" &amp; LOOKUP(2,1/($A$7:A307&lt;&gt;""),$A$7:A307) &amp; "'!C:C"), $B307,
    INDIRECT("'" &amp; LOOKUP(2,1/($A$7:A307&lt;&gt;""),$A$7:A307) &amp; "'!E:E"), "&gt;=" &amp; ($B$3-6),
    INDIRECT("'" &amp; LOOKUP(2,1/($A$7:A307&lt;&gt;""),$A$7:A307) &amp; "'!E:E"), "&lt;=" &amp; $B$3
  ),
0)</f>
        <v>0</v>
      </c>
    </row>
    <row r="308" spans="1:4" ht="50" customHeight="1" x14ac:dyDescent="0.2">
      <c r="A308" s="39"/>
      <c r="B308" s="35" t="s">
        <v>344</v>
      </c>
      <c r="C308" s="28">
        <f ca="1">IFERROR(
   COUNTIF(INDIRECT("'" &amp; LOOKUP("zzz",$A$7:A308) &amp; "'!C:C"), B308),
   0
)</f>
        <v>0</v>
      </c>
      <c r="D308" s="41" cm="1">
        <f t="array" aca="1" ref="D308" ca="1">IFERROR(
  COUNTIFS(
    INDIRECT("'" &amp; LOOKUP(2,1/($A$7:A308&lt;&gt;""),$A$7:A308) &amp; "'!C:C"), $B308,
    INDIRECT("'" &amp; LOOKUP(2,1/($A$7:A308&lt;&gt;""),$A$7:A308) &amp; "'!E:E"), "&gt;=" &amp; ($B$3-6),
    INDIRECT("'" &amp; LOOKUP(2,1/($A$7:A308&lt;&gt;""),$A$7:A308) &amp; "'!E:E"), "&lt;=" &amp; $B$3
  ),
0)</f>
        <v>0</v>
      </c>
    </row>
    <row r="309" spans="1:4" ht="50" customHeight="1" x14ac:dyDescent="0.2">
      <c r="A309" s="28"/>
      <c r="B309" s="33" t="s">
        <v>345</v>
      </c>
      <c r="C309" s="28">
        <f ca="1">IFERROR(
   COUNTIF(INDIRECT("'" &amp; LOOKUP("zzz",$A$7:A309) &amp; "'!C:C"), B309),
   0
)</f>
        <v>0</v>
      </c>
      <c r="D309" s="41" cm="1">
        <f t="array" aca="1" ref="D309" ca="1">IFERROR(
  COUNTIFS(
    INDIRECT("'" &amp; LOOKUP(2,1/($A$7:A309&lt;&gt;""),$A$7:A309) &amp; "'!C:C"), $B309,
    INDIRECT("'" &amp; LOOKUP(2,1/($A$7:A309&lt;&gt;""),$A$7:A309) &amp; "'!E:E"), "&gt;=" &amp; ($B$3-6),
    INDIRECT("'" &amp; LOOKUP(2,1/($A$7:A309&lt;&gt;""),$A$7:A309) &amp; "'!E:E"), "&lt;=" &amp; $B$3
  ),
0)</f>
        <v>0</v>
      </c>
    </row>
    <row r="310" spans="1:4" ht="50" customHeight="1" x14ac:dyDescent="0.2">
      <c r="A310" s="39"/>
      <c r="B310" s="35" t="s">
        <v>346</v>
      </c>
      <c r="C310" s="28">
        <f ca="1">IFERROR(
   COUNTIF(INDIRECT("'" &amp; LOOKUP("zzz",$A$7:A310) &amp; "'!C:C"), B310),
   0
)</f>
        <v>0</v>
      </c>
      <c r="D310" s="41" cm="1">
        <f t="array" aca="1" ref="D310" ca="1">IFERROR(
  COUNTIFS(
    INDIRECT("'" &amp; LOOKUP(2,1/($A$7:A310&lt;&gt;""),$A$7:A310) &amp; "'!C:C"), $B310,
    INDIRECT("'" &amp; LOOKUP(2,1/($A$7:A310&lt;&gt;""),$A$7:A310) &amp; "'!E:E"), "&gt;=" &amp; ($B$3-6),
    INDIRECT("'" &amp; LOOKUP(2,1/($A$7:A310&lt;&gt;""),$A$7:A310) &amp; "'!E:E"), "&lt;=" &amp; $B$3
  ),
0)</f>
        <v>0</v>
      </c>
    </row>
    <row r="311" spans="1:4" ht="50" customHeight="1" x14ac:dyDescent="0.2">
      <c r="A311" s="28"/>
      <c r="B311" s="33" t="s">
        <v>347</v>
      </c>
      <c r="C311" s="28">
        <f ca="1">IFERROR(
   COUNTIF(INDIRECT("'" &amp; LOOKUP("zzz",$A$7:A311) &amp; "'!C:C"), B311),
   0
)</f>
        <v>0</v>
      </c>
      <c r="D311" s="41" cm="1">
        <f t="array" aca="1" ref="D311" ca="1">IFERROR(
  COUNTIFS(
    INDIRECT("'" &amp; LOOKUP(2,1/($A$7:A311&lt;&gt;""),$A$7:A311) &amp; "'!C:C"), $B311,
    INDIRECT("'" &amp; LOOKUP(2,1/($A$7:A311&lt;&gt;""),$A$7:A311) &amp; "'!E:E"), "&gt;=" &amp; ($B$3-6),
    INDIRECT("'" &amp; LOOKUP(2,1/($A$7:A311&lt;&gt;""),$A$7:A311) &amp; "'!E:E"), "&lt;=" &amp; $B$3
  ),
0)</f>
        <v>0</v>
      </c>
    </row>
    <row r="312" spans="1:4" ht="50" customHeight="1" x14ac:dyDescent="0.2">
      <c r="A312" s="39"/>
      <c r="B312" s="35" t="s">
        <v>348</v>
      </c>
      <c r="C312" s="28">
        <f ca="1">IFERROR(
   COUNTIF(INDIRECT("'" &amp; LOOKUP("zzz",$A$7:A312) &amp; "'!C:C"), B312),
   0
)</f>
        <v>0</v>
      </c>
      <c r="D312" s="41" cm="1">
        <f t="array" aca="1" ref="D312" ca="1">IFERROR(
  COUNTIFS(
    INDIRECT("'" &amp; LOOKUP(2,1/($A$7:A312&lt;&gt;""),$A$7:A312) &amp; "'!C:C"), $B312,
    INDIRECT("'" &amp; LOOKUP(2,1/($A$7:A312&lt;&gt;""),$A$7:A312) &amp; "'!E:E"), "&gt;=" &amp; ($B$3-6),
    INDIRECT("'" &amp; LOOKUP(2,1/($A$7:A312&lt;&gt;""),$A$7:A312)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7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7648-4854-A14C-B02E-F5DEEAB7C84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350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351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Al Rawdah</vt:lpstr>
      <vt:lpstr>JED - Makkah</vt:lpstr>
      <vt:lpstr>JED - Obhor - Al Amwaj</vt:lpstr>
      <vt:lpstr>JED - Obhor - Al Sheraa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Makkah'!Print_Area</vt:lpstr>
      <vt:lpstr>'JED - Obhor - Al Amwaj'!Print_Area</vt:lpstr>
      <vt:lpstr>'JED - Obhor - Al Sheraa'!Print_Area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2026-04-24T13:39:20Z</dcterms:modified>
</cp:coreProperties>
</file>