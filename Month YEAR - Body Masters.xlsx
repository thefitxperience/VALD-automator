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Desktop/Reports/"/>
    </mc:Choice>
  </mc:AlternateContent>
  <xr:revisionPtr revIDLastSave="0" documentId="13_ncr:1_{DCC847AD-A2AA-9B4A-8336-7D86031C1CF4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JDR" sheetId="4" r:id="rId28"/>
    <sheet name="JED - Al Rawdah" sheetId="40" r:id="rId29"/>
    <sheet name="JED - Makkah" sheetId="1" r:id="rId30"/>
    <sheet name="JED - Obhor" sheetId="7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8">'JED - Al Rawdah'!$B$1:$H$18</definedName>
    <definedName name="_xlnm.Print_Area" localSheetId="26">'JED - Hamadania'!$B$1:$H$18</definedName>
    <definedName name="_xlnm.Print_Area" localSheetId="27">'JED - JDR'!$B$1:$H$18</definedName>
    <definedName name="_xlnm.Print_Area" localSheetId="29">'JED - Makkah'!$B$1:$H$18</definedName>
    <definedName name="_xlnm.Print_Area" localSheetId="30">'JED - Obhor'!$B$1:$H$18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REPORT!$A$1:$D$209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2" l="1"/>
  <c r="D3" i="50" l="1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53" i="30" a="1"/>
  <c r="D71" i="30" a="1"/>
  <c r="C254" i="30"/>
  <c r="D160" i="30" a="1"/>
  <c r="D198" i="30" a="1"/>
  <c r="D233" i="30" a="1"/>
  <c r="D276" i="30" a="1"/>
  <c r="D171" i="30" a="1"/>
  <c r="C220" i="30"/>
  <c r="C104" i="30"/>
  <c r="D109" i="30" a="1"/>
  <c r="C11" i="30"/>
  <c r="D195" i="30" a="1"/>
  <c r="C14" i="30"/>
  <c r="C227" i="30"/>
  <c r="C129" i="30"/>
  <c r="C291" i="30"/>
  <c r="D208" i="30" a="1"/>
  <c r="D136" i="30" a="1"/>
  <c r="C171" i="30"/>
  <c r="C71" i="30"/>
  <c r="D185" i="30" a="1"/>
  <c r="C166" i="30"/>
  <c r="D258" i="30" a="1"/>
  <c r="C133" i="30"/>
  <c r="C211" i="30"/>
  <c r="C29" i="30"/>
  <c r="C42" i="30"/>
  <c r="D8" i="30" a="1"/>
  <c r="C77" i="30"/>
  <c r="D68" i="30" a="1"/>
  <c r="C206" i="30"/>
  <c r="D49" i="30" a="1"/>
  <c r="C45" i="30"/>
  <c r="C9" i="30"/>
  <c r="D287" i="30" a="1"/>
  <c r="C296" i="30"/>
  <c r="D131" i="30" a="1"/>
  <c r="C278" i="30"/>
  <c r="D275" i="30" a="1"/>
  <c r="C85" i="30"/>
  <c r="C165" i="30"/>
  <c r="D196" i="30" a="1"/>
  <c r="D150" i="30" a="1"/>
  <c r="C185" i="30"/>
  <c r="B41" i="46"/>
  <c r="D193" i="30" a="1"/>
  <c r="D81" i="30" a="1"/>
  <c r="C48" i="46" a="1"/>
  <c r="B28" i="46"/>
  <c r="C288" i="30"/>
  <c r="C131" i="30"/>
  <c r="D154" i="30" a="1"/>
  <c r="D57" i="30" a="1"/>
  <c r="D231" i="30" a="1"/>
  <c r="D7" i="30" a="1"/>
  <c r="C236" i="30"/>
  <c r="D191" i="30" a="1"/>
  <c r="D261" i="30" a="1"/>
  <c r="D61" i="30" a="1"/>
  <c r="C265" i="30"/>
  <c r="D23" i="30" a="1"/>
  <c r="C274" i="30"/>
  <c r="C88" i="30"/>
  <c r="D206" i="30" a="1"/>
  <c r="C154" i="30"/>
  <c r="D279" i="30" a="1"/>
  <c r="C93" i="30"/>
  <c r="C294" i="30"/>
  <c r="D295" i="30" a="1"/>
  <c r="D39" i="30" a="1"/>
  <c r="C164" i="30"/>
  <c r="D29" i="30" a="1"/>
  <c r="D197" i="30" a="1"/>
  <c r="D169" i="30" a="1"/>
  <c r="C135" i="30"/>
  <c r="C96" i="30"/>
  <c r="C169" i="30"/>
  <c r="D74" i="30" a="1"/>
  <c r="C204" i="30"/>
  <c r="D189" i="30" a="1"/>
  <c r="C230" i="30"/>
  <c r="D140" i="30" a="1"/>
  <c r="D63" i="30" a="1"/>
  <c r="C232" i="30"/>
  <c r="C226" i="30"/>
  <c r="C279" i="30"/>
  <c r="C253" i="30"/>
  <c r="C28" i="30"/>
  <c r="D127" i="30" a="1"/>
  <c r="C60" i="30"/>
  <c r="D262" i="30" a="1"/>
  <c r="C83" i="30"/>
  <c r="D31" i="30" a="1"/>
  <c r="B9" i="46"/>
  <c r="D182" i="30" a="1"/>
  <c r="C117" i="30"/>
  <c r="D28" i="30" a="1"/>
  <c r="C57" i="30"/>
  <c r="D70" i="30" a="1"/>
  <c r="C90" i="30"/>
  <c r="C158" i="30"/>
  <c r="C49" i="30"/>
  <c r="D69" i="30" a="1"/>
  <c r="C282" i="30"/>
  <c r="C275" i="30"/>
  <c r="C228" i="30"/>
  <c r="B36" i="46"/>
  <c r="C22" i="30"/>
  <c r="D133" i="30" a="1"/>
  <c r="C224" i="30"/>
  <c r="D120" i="30" a="1"/>
  <c r="D281" i="30" a="1"/>
  <c r="D210" i="30" a="1"/>
  <c r="D82" i="30" a="1"/>
  <c r="C47" i="30"/>
  <c r="D180" i="30" a="1"/>
  <c r="C181" i="30"/>
  <c r="D253" i="30" a="1"/>
  <c r="D98" i="30" a="1"/>
  <c r="D168" i="30" a="1"/>
  <c r="D103" i="30" a="1"/>
  <c r="C259" i="30"/>
  <c r="D224" i="30" a="1"/>
  <c r="C245" i="30"/>
  <c r="D123" i="30" a="1"/>
  <c r="C123" i="30"/>
  <c r="D48" i="30" a="1"/>
  <c r="C231" i="30"/>
  <c r="C99" i="30"/>
  <c r="D209" i="30" a="1"/>
  <c r="D235" i="30" a="1"/>
  <c r="C267" i="30"/>
  <c r="C144" i="30"/>
  <c r="D186" i="30" a="1"/>
  <c r="C76" i="30"/>
  <c r="D259" i="30" a="1"/>
  <c r="D252" i="30" a="1"/>
  <c r="D44" i="30" a="1"/>
  <c r="C157" i="30"/>
  <c r="C72" i="30"/>
  <c r="D249" i="30" a="1"/>
  <c r="C213" i="30"/>
  <c r="D292" i="30" a="1"/>
  <c r="C273" i="30"/>
  <c r="D89" i="30" a="1"/>
  <c r="D52" i="30" a="1"/>
  <c r="C225" i="30"/>
  <c r="D247" i="30" a="1"/>
  <c r="C287" i="30"/>
  <c r="D152" i="30" a="1"/>
  <c r="C26" i="30"/>
  <c r="D84" i="30" a="1"/>
  <c r="C207" i="30"/>
  <c r="C196" i="30"/>
  <c r="D216" i="30" a="1"/>
  <c r="D153" i="30" a="1"/>
  <c r="C34" i="30"/>
  <c r="C21" i="30"/>
  <c r="B18" i="46"/>
  <c r="D110" i="30" a="1"/>
  <c r="C251" i="30"/>
  <c r="C188" i="30"/>
  <c r="C241" i="30"/>
  <c r="C78" i="30"/>
  <c r="C280" i="30"/>
  <c r="C18" i="30"/>
  <c r="D256" i="30" a="1"/>
  <c r="D18" i="30" a="1"/>
  <c r="C95" i="30"/>
  <c r="D211" i="30" a="1"/>
  <c r="C201" i="30"/>
  <c r="D115" i="30" a="1"/>
  <c r="D159" i="30" a="1"/>
  <c r="D34" i="30" a="1"/>
  <c r="C191" i="30"/>
  <c r="D128" i="30" a="1"/>
  <c r="D66" i="30" a="1"/>
  <c r="D226" i="30" a="1"/>
  <c r="D192" i="30" a="1"/>
  <c r="C146" i="30"/>
  <c r="C216" i="30"/>
  <c r="D143" i="30" a="1"/>
  <c r="D50" i="30" a="1"/>
  <c r="C180" i="30"/>
  <c r="D105" i="30" a="1"/>
  <c r="D215" i="30" a="1"/>
  <c r="D285" i="30" a="1"/>
  <c r="D257" i="30" a="1"/>
  <c r="C10" i="30"/>
  <c r="D203" i="30" a="1"/>
  <c r="C176" i="30"/>
  <c r="C44" i="30"/>
  <c r="D267" i="30" a="1"/>
  <c r="C174" i="30"/>
  <c r="C223" i="30"/>
  <c r="C270" i="30"/>
  <c r="D25" i="30" a="1"/>
  <c r="C142" i="30"/>
  <c r="D17" i="30" a="1"/>
  <c r="D157" i="30" a="1"/>
  <c r="C61" i="30"/>
  <c r="C130" i="30"/>
  <c r="C301" i="30"/>
  <c r="D264" i="30" a="1"/>
  <c r="C295" i="30"/>
  <c r="D223" i="30" a="1"/>
  <c r="D230" i="30" a="1"/>
  <c r="D300" i="30" a="1"/>
  <c r="C243" i="30"/>
  <c r="B48" i="46"/>
  <c r="D234" i="30" a="1"/>
  <c r="C221" i="30"/>
  <c r="D289" i="30" a="1"/>
  <c r="D65" i="30" a="1"/>
  <c r="D77" i="30" a="1"/>
  <c r="C214" i="30"/>
  <c r="D244" i="30" a="1"/>
  <c r="C202" i="30"/>
  <c r="B23" i="46"/>
  <c r="D19" i="30" a="1"/>
  <c r="D138" i="30" a="1"/>
  <c r="C103" i="30"/>
  <c r="C113" i="30"/>
  <c r="D27" i="30" a="1"/>
  <c r="D232" i="30" a="1"/>
  <c r="D80" i="30" a="1"/>
  <c r="C281" i="30"/>
  <c r="D113" i="30" a="1"/>
  <c r="C263" i="30"/>
  <c r="D188" i="30" a="1"/>
  <c r="C81" i="30"/>
  <c r="D299" i="30" a="1"/>
  <c r="C271" i="30"/>
  <c r="C80" i="30"/>
  <c r="D250" i="30" a="1"/>
  <c r="C89" i="30"/>
  <c r="D274" i="30" a="1"/>
  <c r="D207" i="30" a="1"/>
  <c r="D125" i="30" a="1"/>
  <c r="D228" i="30" a="1"/>
  <c r="C147" i="30"/>
  <c r="B40" i="46"/>
  <c r="C118" i="30"/>
  <c r="B35" i="46"/>
  <c r="D40" i="30" a="1"/>
  <c r="D284" i="30" a="1"/>
  <c r="C199" i="30"/>
  <c r="D290" i="30" a="1"/>
  <c r="B33" i="46"/>
  <c r="D246" i="30" a="1"/>
  <c r="D38" i="30" a="1"/>
  <c r="C172" i="30"/>
  <c r="C256" i="30"/>
  <c r="D135" i="30" a="1"/>
  <c r="C240" i="30"/>
  <c r="C8" i="30"/>
  <c r="D15" i="30" a="1"/>
  <c r="D104" i="30" a="1"/>
  <c r="C66" i="30"/>
  <c r="C249" i="30"/>
  <c r="D41" i="30" a="1"/>
  <c r="D172" i="30" a="1"/>
  <c r="C200" i="30"/>
  <c r="B11" i="46"/>
  <c r="C105" i="30"/>
  <c r="C55" i="30"/>
  <c r="D20" i="30" a="1"/>
  <c r="D204" i="30" a="1"/>
  <c r="D158" i="30" a="1"/>
  <c r="D220" i="30" a="1"/>
  <c r="D111" i="30" a="1"/>
  <c r="B42" i="46"/>
  <c r="C269" i="30"/>
  <c r="D164" i="30" a="1"/>
  <c r="C277" i="30"/>
  <c r="D166" i="30" a="1"/>
  <c r="D236" i="30" a="1"/>
  <c r="C203" i="30"/>
  <c r="B12" i="46"/>
  <c r="D187" i="30" a="1"/>
  <c r="C238" i="30"/>
  <c r="D93" i="30" a="1"/>
  <c r="D137" i="30" a="1"/>
  <c r="B14" i="46"/>
  <c r="C36" i="30"/>
  <c r="C217" i="30"/>
  <c r="D95" i="30" a="1"/>
  <c r="C286" i="30"/>
  <c r="B43" i="46"/>
  <c r="D298" i="30" a="1"/>
  <c r="C67" i="30"/>
  <c r="C74" i="30"/>
  <c r="D214" i="30" a="1"/>
  <c r="C92" i="30"/>
  <c r="B30" i="46"/>
  <c r="D270" i="30" a="1"/>
  <c r="C193" i="30"/>
  <c r="D202" i="30" a="1"/>
  <c r="D178" i="30" a="1"/>
  <c r="C23" i="30"/>
  <c r="D92" i="30" a="1"/>
  <c r="C27" i="30"/>
  <c r="D155" i="30" a="1"/>
  <c r="D142" i="30" a="1"/>
  <c r="C250" i="30"/>
  <c r="C132" i="30"/>
  <c r="C285" i="30"/>
  <c r="C212" i="30"/>
  <c r="D294" i="30" a="1"/>
  <c r="D85" i="30" a="1"/>
  <c r="C162" i="30"/>
  <c r="C261" i="30"/>
  <c r="C120" i="30"/>
  <c r="C276" i="30"/>
  <c r="D30" i="30" a="1"/>
  <c r="D141" i="30" a="1"/>
  <c r="D286" i="30" a="1"/>
  <c r="C128" i="30"/>
  <c r="D213" i="30" a="1"/>
  <c r="D165" i="30" a="1"/>
  <c r="D176" i="30" a="1"/>
  <c r="C197" i="30"/>
  <c r="D278" i="30" a="1"/>
  <c r="C87" i="30"/>
  <c r="B17" i="46"/>
  <c r="D51" i="30" a="1"/>
  <c r="D296" i="30" a="1"/>
  <c r="D144" i="30" a="1"/>
  <c r="C100" i="30"/>
  <c r="D183" i="30" a="1"/>
  <c r="C284" i="30"/>
  <c r="D266" i="30" a="1"/>
  <c r="C290" i="30"/>
  <c r="B27" i="46"/>
  <c r="D255" i="30" a="1"/>
  <c r="D190" i="30" a="1"/>
  <c r="C246" i="30"/>
  <c r="D129" i="30" a="1"/>
  <c r="C51" i="30"/>
  <c r="D124" i="30" a="1"/>
  <c r="B22" i="46"/>
  <c r="D114" i="30" a="1"/>
  <c r="C112" i="30"/>
  <c r="D21" i="30" a="1"/>
  <c r="D59" i="30" a="1"/>
  <c r="C30" i="30"/>
  <c r="D175" i="30" a="1"/>
  <c r="D170" i="30" a="1"/>
  <c r="C25" i="30"/>
  <c r="D101" i="30" a="1"/>
  <c r="C84" i="30"/>
  <c r="C141" i="30"/>
  <c r="C58" i="30"/>
  <c r="D219" i="30" a="1"/>
  <c r="D242" i="30" a="1"/>
  <c r="C159" i="30"/>
  <c r="C175" i="30"/>
  <c r="C137" i="30"/>
  <c r="D199" i="30" a="1"/>
  <c r="D271" i="30" a="1"/>
  <c r="C91" i="30"/>
  <c r="C283" i="30"/>
  <c r="D24" i="30" a="1"/>
  <c r="C125" i="30"/>
  <c r="D177" i="30" a="1"/>
  <c r="C138" i="30"/>
  <c r="C252" i="30"/>
  <c r="C198" i="30"/>
  <c r="C179" i="30"/>
  <c r="D62" i="30" a="1"/>
  <c r="D229" i="30" a="1"/>
  <c r="D240" i="30" a="1"/>
  <c r="C244" i="30"/>
  <c r="B15" i="46"/>
  <c r="C222" i="30"/>
  <c r="B13" i="46"/>
  <c r="D83" i="30" a="1"/>
  <c r="C262" i="30"/>
  <c r="D238" i="30" a="1"/>
  <c r="C69" i="30"/>
  <c r="C108" i="30"/>
  <c r="C33" i="30"/>
  <c r="C190" i="30"/>
  <c r="D130" i="30" a="1"/>
  <c r="D91" i="30" a="1"/>
  <c r="C52" i="30"/>
  <c r="C40" i="30"/>
  <c r="D200" i="30" a="1"/>
  <c r="D201" i="30" a="1"/>
  <c r="C205" i="30"/>
  <c r="B46" i="46"/>
  <c r="D75" i="30" a="1"/>
  <c r="C183" i="30"/>
  <c r="D32" i="30" a="1"/>
  <c r="B21" i="46"/>
  <c r="B8" i="46"/>
  <c r="C126" i="30"/>
  <c r="D239" i="30" a="1"/>
  <c r="D293" i="30" a="1"/>
  <c r="C149" i="30"/>
  <c r="D147" i="30" a="1"/>
  <c r="D205" i="30" a="1"/>
  <c r="D37" i="30" a="1"/>
  <c r="D9" i="30" a="1"/>
  <c r="C150" i="30"/>
  <c r="C192" i="30"/>
  <c r="D273" i="30" a="1"/>
  <c r="C242" i="30"/>
  <c r="D97" i="30" a="1"/>
  <c r="D126" i="30" a="1"/>
  <c r="C136" i="30"/>
  <c r="C289" i="30"/>
  <c r="C218" i="30"/>
  <c r="D263" i="30" a="1"/>
  <c r="B24" i="46"/>
  <c r="D241" i="30" a="1"/>
  <c r="C24" i="30"/>
  <c r="C299" i="30"/>
  <c r="C63" i="30"/>
  <c r="C235" i="30"/>
  <c r="D94" i="30" a="1"/>
  <c r="C173" i="30"/>
  <c r="B32" i="46"/>
  <c r="D179" i="30" a="1"/>
  <c r="C73" i="30"/>
  <c r="B29" i="46"/>
  <c r="B31" i="46"/>
  <c r="C163" i="30"/>
  <c r="D102" i="30" a="1"/>
  <c r="D301" i="30" a="1"/>
  <c r="C15" i="30"/>
  <c r="B45" i="46"/>
  <c r="C260" i="30"/>
  <c r="C115" i="30"/>
  <c r="D14" i="30" a="1"/>
  <c r="C31" i="30"/>
  <c r="C7" i="30"/>
  <c r="D107" i="30" a="1"/>
  <c r="D265" i="30" a="1"/>
  <c r="C43" i="30"/>
  <c r="C155" i="30"/>
  <c r="C143" i="30"/>
  <c r="D277" i="30" a="1"/>
  <c r="C102" i="30"/>
  <c r="B34" i="46"/>
  <c r="D11" i="30" a="1"/>
  <c r="C229" i="30"/>
  <c r="D47" i="30" a="1"/>
  <c r="B37" i="46"/>
  <c r="C177" i="30"/>
  <c r="D217" i="30" a="1"/>
  <c r="D13" i="30" a="1"/>
  <c r="D184" i="30" a="1"/>
  <c r="D282" i="30" a="1"/>
  <c r="C116" i="30"/>
  <c r="C127" i="30"/>
  <c r="C268" i="30"/>
  <c r="D100" i="30" a="1"/>
  <c r="C161" i="30"/>
  <c r="B19" i="46"/>
  <c r="D43" i="30" a="1"/>
  <c r="C124" i="30"/>
  <c r="D79" i="30" a="1"/>
  <c r="B20" i="46"/>
  <c r="D55" i="30" a="1"/>
  <c r="D10" i="30" a="1"/>
  <c r="C178" i="30"/>
  <c r="D42" i="30" a="1"/>
  <c r="C140" i="30"/>
  <c r="B44" i="46"/>
  <c r="D280" i="30" a="1"/>
  <c r="C234" i="30"/>
  <c r="C17" i="30"/>
  <c r="D167" i="30" a="1"/>
  <c r="B47" i="46"/>
  <c r="C41" i="30"/>
  <c r="C54" i="30"/>
  <c r="D243" i="30" a="1"/>
  <c r="D35" i="30" a="1"/>
  <c r="C195" i="30"/>
  <c r="C98" i="30"/>
  <c r="D22" i="30" a="1"/>
  <c r="C160" i="30"/>
  <c r="D58" i="30" a="1"/>
  <c r="C35" i="30"/>
  <c r="C184" i="30"/>
  <c r="D218" i="30" a="1"/>
  <c r="D76" i="30" a="1"/>
  <c r="C86" i="30"/>
  <c r="C247" i="30"/>
  <c r="C64" i="30"/>
  <c r="C300" i="30"/>
  <c r="D67" i="30" a="1"/>
  <c r="D54" i="30" a="1"/>
  <c r="C264" i="30"/>
  <c r="D268" i="30" a="1"/>
  <c r="C293" i="30"/>
  <c r="C239" i="30"/>
  <c r="D46" i="30" a="1"/>
  <c r="C101" i="30"/>
  <c r="C65" i="30"/>
  <c r="D181" i="30" a="1"/>
  <c r="D248" i="30" a="1"/>
  <c r="D33" i="30" a="1"/>
  <c r="D87" i="30" a="1"/>
  <c r="C50" i="30"/>
  <c r="D78" i="30" a="1"/>
  <c r="C39" i="30"/>
  <c r="C167" i="30"/>
  <c r="D245" i="30" a="1"/>
  <c r="C70" i="30"/>
  <c r="C38" i="30"/>
  <c r="D36" i="30" a="1"/>
  <c r="D145" i="30" a="1"/>
  <c r="D99" i="30" a="1"/>
  <c r="C13" i="30"/>
  <c r="C186" i="30"/>
  <c r="D86" i="30" a="1"/>
  <c r="C111" i="30"/>
  <c r="D117" i="30" a="1"/>
  <c r="C255" i="30"/>
  <c r="D272" i="30" a="1"/>
  <c r="C79" i="30"/>
  <c r="C292" i="30"/>
  <c r="D16" i="30" a="1"/>
  <c r="C297" i="30"/>
  <c r="D96" i="30" a="1"/>
  <c r="C119" i="30"/>
  <c r="B39" i="46"/>
  <c r="D149" i="30" a="1"/>
  <c r="D221" i="30" a="1"/>
  <c r="C170" i="30"/>
  <c r="C59" i="30"/>
  <c r="C37" i="30"/>
  <c r="D237" i="30" a="1"/>
  <c r="D122" i="30" a="1"/>
  <c r="C208" i="30"/>
  <c r="B26" i="46"/>
  <c r="D134" i="30" a="1"/>
  <c r="D161" i="30" a="1"/>
  <c r="C151" i="30"/>
  <c r="D174" i="30" a="1"/>
  <c r="D297" i="30" a="1"/>
  <c r="C122" i="30"/>
  <c r="C109" i="30"/>
  <c r="C209" i="30"/>
  <c r="D283" i="30" a="1"/>
  <c r="C68" i="30"/>
  <c r="C215" i="30"/>
  <c r="D60" i="30" a="1"/>
  <c r="C156" i="30"/>
  <c r="D132" i="30" a="1"/>
  <c r="D64" i="30" a="1"/>
  <c r="C75" i="30"/>
  <c r="D148" i="30" a="1"/>
  <c r="C53" i="30"/>
  <c r="D121" i="30" a="1"/>
  <c r="D162" i="30" a="1"/>
  <c r="D163" i="30" a="1"/>
  <c r="C148" i="30"/>
  <c r="C257" i="30"/>
  <c r="C82" i="30"/>
  <c r="D90" i="30" a="1"/>
  <c r="B16" i="46"/>
  <c r="C298" i="30"/>
  <c r="D156" i="30" a="1"/>
  <c r="C114" i="30"/>
  <c r="C152" i="30"/>
  <c r="C139" i="30"/>
  <c r="D288" i="30" a="1"/>
  <c r="C272" i="30"/>
  <c r="D251" i="30" a="1"/>
  <c r="D45" i="30" a="1"/>
  <c r="C237" i="30"/>
  <c r="C219" i="30"/>
  <c r="D269" i="30" a="1"/>
  <c r="C46" i="30"/>
  <c r="D119" i="30" a="1"/>
  <c r="C266" i="30"/>
  <c r="D72" i="30" a="1"/>
  <c r="C153" i="30"/>
  <c r="C94" i="30"/>
  <c r="D106" i="30" a="1"/>
  <c r="C48" i="30"/>
  <c r="D194" i="30" a="1"/>
  <c r="C106" i="30"/>
  <c r="C12" i="30"/>
  <c r="D212" i="30" a="1"/>
  <c r="C248" i="30"/>
  <c r="D112" i="30" a="1"/>
  <c r="C20" i="30"/>
  <c r="C16" i="30"/>
  <c r="C19" i="30"/>
  <c r="D88" i="30" a="1"/>
  <c r="C187" i="30"/>
  <c r="D12" i="30" a="1"/>
  <c r="C56" i="30"/>
  <c r="B10" i="46"/>
  <c r="C189" i="30"/>
  <c r="B7" i="46"/>
  <c r="D151" i="30" a="1"/>
  <c r="C145" i="30"/>
  <c r="B25" i="46"/>
  <c r="D225" i="30" a="1"/>
  <c r="D108" i="30" a="1"/>
  <c r="C168" i="30"/>
  <c r="C32" i="30"/>
  <c r="D260" i="30" a="1"/>
  <c r="C107" i="30"/>
  <c r="D118" i="30" a="1"/>
  <c r="C110" i="30"/>
  <c r="C62" i="30"/>
  <c r="D222" i="30" a="1"/>
  <c r="C233" i="30"/>
  <c r="D26" i="30" a="1"/>
  <c r="D139" i="30" a="1"/>
  <c r="D291" i="30" a="1"/>
  <c r="C210" i="30"/>
  <c r="D173" i="30" a="1"/>
  <c r="D116" i="30" a="1"/>
  <c r="C182" i="30"/>
  <c r="D146" i="30" a="1"/>
  <c r="C194" i="30"/>
  <c r="D56" i="30" a="1"/>
  <c r="C258" i="30"/>
  <c r="D254" i="30" a="1"/>
  <c r="D227" i="30" a="1"/>
  <c r="C134" i="30"/>
  <c r="B38" i="46"/>
  <c r="C97" i="30"/>
  <c r="C121" i="30"/>
  <c r="D73" i="30" a="1"/>
  <c r="D184" i="30" l="1"/>
  <c r="D114" i="30"/>
  <c r="D57" i="30"/>
  <c r="D17" i="30"/>
  <c r="D100" i="30"/>
  <c r="D164" i="30"/>
  <c r="D220" i="30"/>
  <c r="D291" i="30"/>
  <c r="D290" i="30"/>
  <c r="D36" i="30"/>
  <c r="D227" i="30"/>
  <c r="D226" i="30"/>
  <c r="D128" i="30"/>
  <c r="D10" i="30"/>
  <c r="D156" i="30"/>
  <c r="D285" i="30"/>
  <c r="D33" i="30"/>
  <c r="D163" i="30"/>
  <c r="D162" i="30"/>
  <c r="D64" i="30"/>
  <c r="D221" i="30"/>
  <c r="D201" i="30"/>
  <c r="D21" i="30"/>
  <c r="D13" i="30"/>
  <c r="D95" i="30"/>
  <c r="D301" i="30"/>
  <c r="D157" i="30"/>
  <c r="D133" i="30"/>
  <c r="D286" i="30"/>
  <c r="D74" i="30"/>
  <c r="D63" i="30"/>
  <c r="D158" i="30"/>
  <c r="D248" i="30"/>
  <c r="D246" i="30"/>
  <c r="D222" i="30"/>
  <c r="D42" i="30"/>
  <c r="D31" i="30"/>
  <c r="D212" i="30"/>
  <c r="D192" i="30"/>
  <c r="D282" i="30"/>
  <c r="D218" i="30"/>
  <c r="D154" i="30"/>
  <c r="D280" i="30"/>
  <c r="D277" i="30"/>
  <c r="D213" i="30"/>
  <c r="D149" i="30"/>
  <c r="D289" i="30"/>
  <c r="D281" i="30"/>
  <c r="D217" i="30"/>
  <c r="D153" i="30"/>
  <c r="D102" i="30"/>
  <c r="D70" i="30"/>
  <c r="D38" i="30"/>
  <c r="D9" i="30"/>
  <c r="D92" i="30"/>
  <c r="D28" i="30"/>
  <c r="D120" i="30"/>
  <c r="D56" i="30"/>
  <c r="D91" i="30"/>
  <c r="D59" i="30"/>
  <c r="D27" i="30"/>
  <c r="D271" i="30"/>
  <c r="D69" i="30"/>
  <c r="D111" i="30"/>
  <c r="D214" i="30"/>
  <c r="D150" i="30"/>
  <c r="D257" i="30"/>
  <c r="D273" i="30"/>
  <c r="D209" i="30"/>
  <c r="D141" i="30"/>
  <c r="D279" i="30"/>
  <c r="D268" i="30"/>
  <c r="D204" i="30"/>
  <c r="D139" i="30"/>
  <c r="D284" i="30"/>
  <c r="D272" i="30"/>
  <c r="D208" i="30"/>
  <c r="D138" i="30"/>
  <c r="D98" i="30"/>
  <c r="D66" i="30"/>
  <c r="D34" i="30"/>
  <c r="D148" i="30"/>
  <c r="D84" i="30"/>
  <c r="D24" i="30"/>
  <c r="D112" i="30"/>
  <c r="D48" i="30"/>
  <c r="D87" i="30"/>
  <c r="D55" i="30"/>
  <c r="D23" i="30"/>
  <c r="D243" i="30"/>
  <c r="D275" i="30"/>
  <c r="D25" i="30"/>
  <c r="D137" i="30"/>
  <c r="D206" i="30"/>
  <c r="D262" i="30"/>
  <c r="D161" i="30"/>
  <c r="D37" i="30"/>
  <c r="D178" i="30"/>
  <c r="D93" i="30"/>
  <c r="D264" i="30"/>
  <c r="D200" i="30"/>
  <c r="D130" i="30"/>
  <c r="D283" i="30"/>
  <c r="D263" i="30"/>
  <c r="D199" i="30"/>
  <c r="D129" i="30"/>
  <c r="D288" i="30"/>
  <c r="D267" i="30"/>
  <c r="D203" i="30"/>
  <c r="D127" i="30"/>
  <c r="D94" i="30"/>
  <c r="D62" i="30"/>
  <c r="D30" i="30"/>
  <c r="D140" i="30"/>
  <c r="D76" i="30"/>
  <c r="D20" i="30"/>
  <c r="D104" i="30"/>
  <c r="D40" i="30"/>
  <c r="D83" i="30"/>
  <c r="D51" i="30"/>
  <c r="D19" i="30"/>
  <c r="D276" i="30"/>
  <c r="D215" i="30"/>
  <c r="D159" i="30"/>
  <c r="D207" i="30"/>
  <c r="D252" i="30"/>
  <c r="D225" i="30"/>
  <c r="D134" i="30"/>
  <c r="D205" i="30"/>
  <c r="D253" i="30"/>
  <c r="D189" i="30"/>
  <c r="D115" i="30"/>
  <c r="D216" i="30"/>
  <c r="D152" i="30"/>
  <c r="D266" i="30"/>
  <c r="D188" i="30"/>
  <c r="D123" i="30"/>
  <c r="D233" i="30"/>
  <c r="D169" i="30"/>
  <c r="D61" i="30"/>
  <c r="D196" i="30"/>
  <c r="D131" i="30"/>
  <c r="D274" i="30"/>
  <c r="D259" i="30"/>
  <c r="D195" i="30"/>
  <c r="D119" i="30"/>
  <c r="D251" i="30"/>
  <c r="D254" i="30"/>
  <c r="D190" i="30"/>
  <c r="D118" i="30"/>
  <c r="D292" i="30"/>
  <c r="D258" i="30"/>
  <c r="D194" i="30"/>
  <c r="D117" i="30"/>
  <c r="D90" i="30"/>
  <c r="D58" i="30"/>
  <c r="D26" i="30"/>
  <c r="D132" i="30"/>
  <c r="D68" i="30"/>
  <c r="D12" i="30"/>
  <c r="D96" i="30"/>
  <c r="D32" i="30"/>
  <c r="D79" i="30"/>
  <c r="D47" i="30"/>
  <c r="D15" i="30"/>
  <c r="D147" i="30"/>
  <c r="D101" i="30"/>
  <c r="D223" i="30"/>
  <c r="D234" i="30"/>
  <c r="D187" i="30"/>
  <c r="D198" i="30"/>
  <c r="D197" i="30"/>
  <c r="D261" i="30"/>
  <c r="D265" i="30"/>
  <c r="D278" i="30"/>
  <c r="D244" i="30"/>
  <c r="D180" i="30"/>
  <c r="D105" i="30"/>
  <c r="D211" i="30"/>
  <c r="D146" i="30"/>
  <c r="D247" i="30"/>
  <c r="D183" i="30"/>
  <c r="D113" i="30"/>
  <c r="D224" i="30"/>
  <c r="D160" i="30"/>
  <c r="D29" i="30"/>
  <c r="D191" i="30"/>
  <c r="D121" i="30"/>
  <c r="D287" i="30"/>
  <c r="D250" i="30"/>
  <c r="D186" i="30"/>
  <c r="D109" i="30"/>
  <c r="D269" i="30"/>
  <c r="D245" i="30"/>
  <c r="D181" i="30"/>
  <c r="D107" i="30"/>
  <c r="D260" i="30"/>
  <c r="D249" i="30"/>
  <c r="D185" i="30"/>
  <c r="D106" i="30"/>
  <c r="D86" i="30"/>
  <c r="D54" i="30"/>
  <c r="D22" i="30"/>
  <c r="D124" i="30"/>
  <c r="D60" i="30"/>
  <c r="D8" i="30"/>
  <c r="D88" i="30"/>
  <c r="D16" i="30"/>
  <c r="D75" i="30"/>
  <c r="D43" i="30"/>
  <c r="D11" i="30"/>
  <c r="D298" i="30"/>
  <c r="D179" i="30"/>
  <c r="D151" i="30"/>
  <c r="D122" i="30"/>
  <c r="D293" i="30"/>
  <c r="D170" i="30"/>
  <c r="D145" i="30"/>
  <c r="D297" i="30"/>
  <c r="D126" i="30"/>
  <c r="D242" i="30"/>
  <c r="D142" i="30"/>
  <c r="C48" i="46"/>
  <c r="D48" i="46" s="1"/>
  <c r="D237" i="30"/>
  <c r="D239" i="30"/>
  <c r="D175" i="30"/>
  <c r="D73" i="30"/>
  <c r="D202" i="30"/>
  <c r="D135" i="30"/>
  <c r="D238" i="30"/>
  <c r="D174" i="30"/>
  <c r="D97" i="30"/>
  <c r="D219" i="30"/>
  <c r="D155" i="30"/>
  <c r="D270" i="30"/>
  <c r="D182" i="30"/>
  <c r="D110" i="30"/>
  <c r="D255" i="30"/>
  <c r="D241" i="30"/>
  <c r="D177" i="30"/>
  <c r="D85" i="30"/>
  <c r="D300" i="30"/>
  <c r="D236" i="30"/>
  <c r="D172" i="30"/>
  <c r="D81" i="30"/>
  <c r="D228" i="30"/>
  <c r="D240" i="30"/>
  <c r="D176" i="30"/>
  <c r="D77" i="30"/>
  <c r="D82" i="30"/>
  <c r="D50" i="30"/>
  <c r="D18" i="30"/>
  <c r="D116" i="30"/>
  <c r="D52" i="30"/>
  <c r="D144" i="30"/>
  <c r="D80" i="30"/>
  <c r="D103" i="30"/>
  <c r="D71" i="30"/>
  <c r="D39" i="30"/>
  <c r="D7" i="30"/>
  <c r="D294" i="30"/>
  <c r="D230" i="30"/>
  <c r="D166" i="30"/>
  <c r="D41" i="30"/>
  <c r="D193" i="30"/>
  <c r="D125" i="30"/>
  <c r="D229" i="30"/>
  <c r="D165" i="30"/>
  <c r="D65" i="30"/>
  <c r="D210" i="30"/>
  <c r="D143" i="30"/>
  <c r="D256" i="30"/>
  <c r="D173" i="30"/>
  <c r="D89" i="30"/>
  <c r="D296" i="30"/>
  <c r="D232" i="30"/>
  <c r="D168" i="30"/>
  <c r="D53" i="30"/>
  <c r="D295" i="30"/>
  <c r="D231" i="30"/>
  <c r="D167" i="30"/>
  <c r="D49" i="30"/>
  <c r="D299" i="30"/>
  <c r="D235" i="30"/>
  <c r="D171" i="30"/>
  <c r="D45" i="30"/>
  <c r="D78" i="30"/>
  <c r="D46" i="30"/>
  <c r="D14" i="30"/>
  <c r="D108" i="30"/>
  <c r="D44" i="30"/>
  <c r="D136" i="30"/>
  <c r="D72" i="30"/>
  <c r="D99" i="30"/>
  <c r="D67" i="30"/>
  <c r="D35" i="30"/>
  <c r="D3" i="26"/>
  <c r="D3" i="25"/>
  <c r="D3" i="28"/>
  <c r="D3" i="32" l="1"/>
  <c r="D3" i="23"/>
  <c r="D3" i="16" l="1"/>
  <c r="C9" i="46" a="1"/>
  <c r="C16" i="46" a="1"/>
  <c r="C36" i="46" a="1"/>
  <c r="C44" i="46" a="1"/>
  <c r="C41" i="46" a="1"/>
  <c r="C14" i="46" a="1"/>
  <c r="C10" i="46" a="1"/>
  <c r="C43" i="46" a="1"/>
  <c r="C37" i="46" a="1"/>
  <c r="C15" i="46" a="1"/>
  <c r="C38" i="46" a="1"/>
  <c r="C13" i="46" a="1"/>
  <c r="C33" i="46" a="1"/>
  <c r="C47" i="46" a="1"/>
  <c r="C45" i="46" a="1"/>
  <c r="C20" i="46" a="1"/>
  <c r="C8" i="46" a="1"/>
  <c r="C12" i="46" a="1"/>
  <c r="C17" i="46" a="1"/>
  <c r="C46" i="46" a="1"/>
  <c r="C38" i="46" l="1"/>
  <c r="D38" i="46" s="1"/>
  <c r="C43" i="46"/>
  <c r="D43" i="46" s="1"/>
  <c r="C37" i="46"/>
  <c r="D37" i="46" s="1"/>
  <c r="C17" i="46"/>
  <c r="D17" i="46" s="1"/>
  <c r="C47" i="46"/>
  <c r="D47" i="46" s="1"/>
  <c r="C44" i="46"/>
  <c r="D44" i="46" s="1"/>
  <c r="C20" i="46"/>
  <c r="D20" i="46" s="1"/>
  <c r="C33" i="46"/>
  <c r="D33" i="46" s="1"/>
  <c r="C45" i="46"/>
  <c r="D45" i="46" s="1"/>
  <c r="C13" i="46"/>
  <c r="D13" i="46" s="1"/>
  <c r="C15" i="46"/>
  <c r="D15" i="46" s="1"/>
  <c r="C14" i="46"/>
  <c r="D14" i="46" s="1"/>
  <c r="C46" i="46"/>
  <c r="D46" i="46" s="1"/>
  <c r="C9" i="46"/>
  <c r="D9" i="46" s="1"/>
  <c r="C36" i="46"/>
  <c r="D36" i="46" s="1"/>
  <c r="C10" i="46"/>
  <c r="D10" i="46" s="1"/>
  <c r="C41" i="46"/>
  <c r="D41" i="46" s="1"/>
  <c r="C8" i="46"/>
  <c r="D8" i="46" s="1"/>
  <c r="C16" i="46"/>
  <c r="D16" i="46" s="1"/>
  <c r="C12" i="46"/>
  <c r="D12" i="46" s="1"/>
  <c r="D3" i="27"/>
  <c r="C11" i="46" a="1"/>
  <c r="C11" i="46" l="1"/>
  <c r="D11" i="46" s="1"/>
  <c r="D3" i="24"/>
  <c r="C7" i="46" a="1"/>
  <c r="C7" i="46" l="1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3" i="4"/>
  <c r="C40" i="46" a="1"/>
  <c r="C18" i="46" a="1"/>
  <c r="C24" i="46" a="1"/>
  <c r="C28" i="46" a="1"/>
  <c r="C23" i="46" a="1"/>
  <c r="C29" i="46" a="1"/>
  <c r="C25" i="46" a="1"/>
  <c r="C35" i="46" a="1"/>
  <c r="C19" i="46" a="1"/>
  <c r="C26" i="46" a="1"/>
  <c r="C39" i="46" a="1"/>
  <c r="C42" i="46" a="1"/>
  <c r="C31" i="46" a="1"/>
  <c r="C27" i="46" a="1"/>
  <c r="C30" i="46" a="1"/>
  <c r="C22" i="46" a="1"/>
  <c r="C32" i="46" a="1"/>
  <c r="C35" i="46" l="1"/>
  <c r="D35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2" i="46"/>
  <c r="D32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4" i="46" a="1"/>
  <c r="C34" i="46" l="1"/>
  <c r="D3" i="46" l="1"/>
  <c r="D34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<sst xmlns="http://schemas.openxmlformats.org/spreadsheetml/2006/main" count="902" uniqueCount="355">
  <si>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</si>
  <si>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</si>
  <si>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</si>
  <si>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</si>
  <si>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</si>
  <si>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</si>
  <si>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</si>
  <si>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</si>
  <si>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</si>
  <si>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</si>
  <si>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</si>
  <si>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</si>
  <si>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</si>
  <si>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</si>
  <si>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</si>
  <si>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</si>
  <si>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</si>
  <si>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</si>
  <si>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</si>
  <si>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</si>
  <si>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</si>
  <si>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</si>
  <si>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</si>
  <si>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</si>
  <si>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</si>
  <si>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</si>
  <si>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</si>
  <si>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JED - JDR</t>
  </si>
  <si>
    <t>JED - Obhor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</si>
  <si>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</si>
  <si>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</si>
  <si>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</si>
  <si>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</si>
  <si>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</si>
  <si>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</si>
  <si>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</si>
  <si>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</si>
  <si>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</si>
  <si>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</si>
  <si>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</si>
  <si>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</si>
  <si>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</si>
  <si>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</si>
  <si>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</si>
  <si>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</si>
  <si>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</si>
  <si>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</si>
  <si>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</si>
  <si>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</si>
  <si>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</si>
  <si>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</si>
  <si>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</si>
  <si>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</si>
  <si>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</si>
  <si>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</si>
  <si>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</si>
  <si>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</si>
  <si>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</si>
  <si>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</si>
  <si>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</si>
  <si>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</si>
  <si>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</si>
  <si>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</si>
  <si>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</si>
  <si>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</si>
  <si>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</si>
  <si>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</si>
  <si>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</si>
  <si>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</si>
  <si>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</si>
  <si>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</si>
  <si>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</si>
  <si>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</si>
  <si>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</si>
  <si>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</si>
  <si>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</si>
  <si>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</si>
  <si>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</si>
  <si>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</si>
  <si>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</si>
  <si>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</si>
  <si>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</si>
  <si>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</si>
  <si>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</si>
  <si>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</si>
  <si>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</si>
  <si>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</si>
  <si>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</si>
  <si>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</si>
  <si>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</si>
  <si>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</si>
  <si>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</si>
  <si>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</si>
  <si>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</si>
  <si>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</si>
  <si>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</si>
  <si>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</si>
  <si>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</si>
  <si>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</si>
  <si>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</si>
  <si>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ElHassan Nagub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</si>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</sst>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7" fillId="0" borderId="5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164" fontId="7" fillId="4" borderId="6" xfId="0" applyNumberFormat="1" applyFont="1" applyFill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7" fillId="4" borderId="6" xfId="0" applyNumberFormat="1" applyFont="1" applyFill="1" applyBorder="1" applyAlignment="1">
      <alignment horizontal="center"/>
    </xf>
    <xf numFmtId="164" fontId="7" fillId="0" borderId="6" xfId="0" applyNumberFormat="1" applyFont="1" applyBorder="1" applyAlignment="1">
      <alignment horizont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6" borderId="5" xfId="0" applyFont="1" applyFill="1" applyBorder="1" applyAlignment="1">
      <alignment horizontal="left" vertical="center" wrapText="1"/>
    </xf>
    <xf numFmtId="0" fontId="7" fillId="6" borderId="2" xfId="0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12" fillId="0" borderId="3" xfId="0" applyFont="1" applyBorder="1"/>
    <xf numFmtId="0" fontId="1" fillId="0" borderId="3" xfId="0" applyFont="1" applyBorder="1"/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 readingOrder="2"/>
    </xf>
    <xf numFmtId="0" fontId="8" fillId="0" borderId="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B9" sqref="B9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6" customWidth="1"/>
    <col min="4" max="4" width="83.5" style="26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51">
        <v>46119</v>
      </c>
      <c r="C3" s="3" t="s">
        <v>317</v>
      </c>
      <c r="D3" s="33">
        <f ca="1">SUM(C7:C48)</f>
        <v>0</v>
      </c>
    </row>
    <row r="4" spans="1:16" ht="47.75" customHeight="1" x14ac:dyDescent="0.45">
      <c r="B4" s="2"/>
      <c r="C4" s="78"/>
      <c r="D4" s="1"/>
    </row>
    <row r="5" spans="1:16" ht="49.25" customHeight="1" x14ac:dyDescent="0.2">
      <c r="A5" s="7" t="s">
        <v>19</v>
      </c>
      <c r="B5" s="7" t="s">
        <v>180</v>
      </c>
      <c r="C5" s="8" t="s">
        <v>181</v>
      </c>
      <c r="D5" s="9" t="s">
        <v>182</v>
      </c>
      <c r="F5" s="10"/>
    </row>
    <row r="6" spans="1:16" ht="49.25" customHeight="1" x14ac:dyDescent="0.2">
      <c r="A6" s="11" t="s">
        <v>20</v>
      </c>
      <c r="B6" s="12" t="s">
        <v>183</v>
      </c>
      <c r="C6" s="12" t="s">
        <v>184</v>
      </c>
      <c r="D6" s="12" t="s">
        <v>185</v>
      </c>
      <c r="F6" s="10"/>
    </row>
    <row r="7" spans="1:16" s="16" customFormat="1" ht="64.5" customHeight="1" x14ac:dyDescent="0.2">
      <c r="A7" s="74" t="s">
        <v>260</v>
      </c>
      <c r="B7" s="49">
        <f t="shared" ref="B7:B47" ca="1" si="0">IFERROR(
  COUNTIFS(
    INDIRECT("'" &amp; $A7 &amp; "'!E:E"), "&gt;=" &amp; $B$3-7,
    INDIRECT("'" &amp; $A7 &amp; "'!E:E"), "&lt;=" &amp; $B$3
  ),
0)</f>
        <v>0</v>
      </c>
      <c r="C7" s="48">
        <f t="array" aca="1" ref="C7" ca="1">INDIRECT("'" &amp; A7 &amp; "'!D3")</f>
        <v>0</v>
      </c>
      <c r="D7" s="48">
        <f ca="1">C7+461</f>
        <v>461</v>
      </c>
      <c r="E7" s="17"/>
      <c r="F7" s="17"/>
      <c r="G7" s="17"/>
      <c r="H7" s="17"/>
      <c r="I7" s="17"/>
      <c r="J7" s="17"/>
      <c r="K7" s="15"/>
      <c r="L7" s="17"/>
      <c r="M7" s="17"/>
      <c r="N7" s="17"/>
      <c r="O7" s="17"/>
      <c r="P7" s="17"/>
    </row>
    <row r="8" spans="1:16" s="15" customFormat="1" ht="64.5" customHeight="1" x14ac:dyDescent="0.2">
      <c r="A8" s="74" t="s">
        <v>257</v>
      </c>
      <c r="B8" s="49">
        <f t="shared" ca="1" si="0"/>
        <v>0</v>
      </c>
      <c r="C8" s="48">
        <f t="array" aca="1" ref="C8" ca="1">INDIRECT("'" &amp; A8 &amp; "'!D3")</f>
        <v>0</v>
      </c>
      <c r="D8" s="48">
        <f ca="1">C8+144</f>
        <v>144</v>
      </c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</row>
    <row r="9" spans="1:16" s="15" customFormat="1" ht="64.5" customHeight="1" x14ac:dyDescent="0.2">
      <c r="A9" s="74" t="s">
        <v>256</v>
      </c>
      <c r="B9" s="49">
        <f t="shared" ca="1" si="0"/>
        <v>0</v>
      </c>
      <c r="C9" s="48">
        <f t="array" aca="1" ref="C9" ca="1">INDIRECT("'" &amp; A9 &amp; "'!D3")</f>
        <v>0</v>
      </c>
      <c r="D9" s="48">
        <f ca="1">C9+47</f>
        <v>47</v>
      </c>
    </row>
    <row r="10" spans="1:16" s="17" customFormat="1" ht="64.5" customHeight="1" x14ac:dyDescent="0.2">
      <c r="A10" s="74" t="s">
        <v>258</v>
      </c>
      <c r="B10" s="49">
        <f t="shared" ca="1" si="0"/>
        <v>0</v>
      </c>
      <c r="C10" s="48">
        <f t="array" aca="1" ref="C10" ca="1">INDIRECT("'" &amp; A10 &amp; "'!D3")</f>
        <v>0</v>
      </c>
      <c r="D10" s="48">
        <f ca="1">C10+46</f>
        <v>46</v>
      </c>
      <c r="E10" s="15"/>
      <c r="F10" s="15"/>
      <c r="G10" s="15"/>
      <c r="H10" s="15"/>
      <c r="I10" s="15"/>
      <c r="J10" s="15"/>
      <c r="L10" s="15"/>
      <c r="M10" s="15"/>
      <c r="N10" s="15"/>
      <c r="O10" s="15"/>
      <c r="P10" s="15"/>
    </row>
    <row r="11" spans="1:16" s="15" customFormat="1" ht="64.5" customHeight="1" x14ac:dyDescent="0.2">
      <c r="A11" s="74" t="s">
        <v>259</v>
      </c>
      <c r="B11" s="49">
        <f t="shared" ca="1" si="0"/>
        <v>0</v>
      </c>
      <c r="C11" s="48">
        <f t="array" aca="1" ref="C11" ca="1">INDIRECT("'" &amp; A11 &amp; "'!D3")</f>
        <v>0</v>
      </c>
      <c r="D11" s="48">
        <f ca="1">C11+47</f>
        <v>47</v>
      </c>
    </row>
    <row r="12" spans="1:16" ht="64" customHeight="1" x14ac:dyDescent="0.2">
      <c r="A12" s="35" t="s">
        <v>36</v>
      </c>
      <c r="B12" s="49">
        <f t="shared" ca="1" si="0"/>
        <v>0</v>
      </c>
      <c r="C12" s="48">
        <f t="array" aca="1" ref="C12" ca="1">INDIRECT("'" &amp; A12 &amp; "'!D3")</f>
        <v>0</v>
      </c>
      <c r="D12" s="48">
        <f ca="1">C12+129</f>
        <v>129</v>
      </c>
      <c r="F12" s="1"/>
    </row>
    <row r="13" spans="1:16" customFormat="1" ht="64" customHeight="1" x14ac:dyDescent="0.2">
      <c r="A13" s="74" t="s">
        <v>207</v>
      </c>
      <c r="B13" s="49">
        <f t="shared" ca="1" si="0"/>
        <v>0</v>
      </c>
      <c r="C13" s="48">
        <f t="array" aca="1" ref="C13" ca="1">INDIRECT("'" &amp; A13 &amp; "'!D3")</f>
        <v>0</v>
      </c>
      <c r="D13" s="48">
        <f ca="1">C13+22</f>
        <v>22</v>
      </c>
      <c r="E13" s="22"/>
    </row>
    <row r="14" spans="1:16" customFormat="1" ht="64" customHeight="1" x14ac:dyDescent="0.2">
      <c r="A14" s="74" t="s">
        <v>206</v>
      </c>
      <c r="B14" s="49">
        <f t="shared" ca="1" si="0"/>
        <v>0</v>
      </c>
      <c r="C14" s="48">
        <f t="array" aca="1" ref="C14" ca="1">INDIRECT("'" &amp; A14 &amp; "'!D3")</f>
        <v>0</v>
      </c>
      <c r="D14" s="48">
        <f ca="1">C14+7</f>
        <v>7</v>
      </c>
      <c r="E14" s="22"/>
    </row>
    <row r="15" spans="1:16" customFormat="1" ht="64" customHeight="1" x14ac:dyDescent="0.2">
      <c r="A15" s="74" t="s">
        <v>205</v>
      </c>
      <c r="B15" s="49">
        <f t="shared" ca="1" si="0"/>
        <v>0</v>
      </c>
      <c r="C15" s="48">
        <f t="array" aca="1" ref="C15" ca="1">INDIRECT("'" &amp; A15 &amp; "'!D3")</f>
        <v>0</v>
      </c>
      <c r="D15" s="48">
        <f ca="1">C15+23</f>
        <v>23</v>
      </c>
      <c r="E15" s="22"/>
    </row>
    <row r="16" spans="1:16" customFormat="1" ht="64" customHeight="1" x14ac:dyDescent="0.2">
      <c r="A16" s="74" t="s">
        <v>204</v>
      </c>
      <c r="B16" s="49">
        <f t="shared" ca="1" si="0"/>
        <v>0</v>
      </c>
      <c r="C16" s="48">
        <f t="array" aca="1" ref="C16" ca="1">INDIRECT("'" &amp; A16 &amp; "'!D3")</f>
        <v>0</v>
      </c>
      <c r="D16" s="48">
        <f ca="1">C16+0</f>
        <v>0</v>
      </c>
      <c r="E16" s="22"/>
    </row>
    <row r="17" spans="1:6" customFormat="1" ht="64" customHeight="1" x14ac:dyDescent="0.2">
      <c r="A17" s="74" t="s">
        <v>203</v>
      </c>
      <c r="B17" s="49">
        <f t="shared" ca="1" si="0"/>
        <v>0</v>
      </c>
      <c r="C17" s="48">
        <f t="array" aca="1" ref="C17" ca="1">INDIRECT("'" &amp; A17 &amp; "'!D3")</f>
        <v>0</v>
      </c>
      <c r="D17" s="48">
        <f ca="1">C17+5</f>
        <v>5</v>
      </c>
      <c r="E17" s="22"/>
    </row>
    <row r="18" spans="1:6" ht="64" customHeight="1" x14ac:dyDescent="0.2">
      <c r="A18" s="36" t="s">
        <v>31</v>
      </c>
      <c r="B18" s="49">
        <f t="shared" ca="1" si="0"/>
        <v>0</v>
      </c>
      <c r="C18" s="48">
        <f t="array" aca="1" ref="C18" ca="1">INDIRECT("'" &amp; A18 &amp; "'!D3")</f>
        <v>0</v>
      </c>
      <c r="D18" s="48">
        <f ca="1">C18+11</f>
        <v>11</v>
      </c>
      <c r="F18" s="1"/>
    </row>
    <row r="19" spans="1:6" ht="64" customHeight="1" x14ac:dyDescent="0.2">
      <c r="A19" s="36" t="s">
        <v>32</v>
      </c>
      <c r="B19" s="49">
        <f t="shared" ca="1" si="0"/>
        <v>0</v>
      </c>
      <c r="C19" s="48">
        <f t="array" aca="1" ref="C19" ca="1">INDIRECT("'" &amp; A19 &amp; "'!D3")</f>
        <v>0</v>
      </c>
      <c r="D19" s="48">
        <f ca="1">C19+29</f>
        <v>29</v>
      </c>
      <c r="F19" s="1"/>
    </row>
    <row r="20" spans="1:6" ht="64" customHeight="1" x14ac:dyDescent="0.2">
      <c r="A20" s="35" t="s">
        <v>186</v>
      </c>
      <c r="B20" s="49">
        <f t="shared" ca="1" si="0"/>
        <v>0</v>
      </c>
      <c r="C20" s="48">
        <f t="array" aca="1" ref="C20" ca="1">INDIRECT("'" &amp; A20 &amp; "'!D3")</f>
        <v>0</v>
      </c>
      <c r="D20" s="48">
        <f ca="1">C20+25</f>
        <v>25</v>
      </c>
      <c r="F20" s="1"/>
    </row>
    <row r="21" spans="1:6" ht="64" customHeight="1" x14ac:dyDescent="0.2">
      <c r="A21" s="35" t="s">
        <v>33</v>
      </c>
      <c r="B21" s="49">
        <f t="shared" ca="1" si="0"/>
        <v>0</v>
      </c>
      <c r="C21" s="48">
        <f t="array" aca="1" ref="C21" ca="1">INDIRECT("'" &amp; A21 &amp; "'!D3")</f>
        <v>0</v>
      </c>
      <c r="D21" s="48">
        <f ca="1">C21+24</f>
        <v>24</v>
      </c>
      <c r="F21" s="1"/>
    </row>
    <row r="22" spans="1:6" ht="64" customHeight="1" x14ac:dyDescent="0.2">
      <c r="A22" s="35" t="s">
        <v>34</v>
      </c>
      <c r="B22" s="49">
        <f t="shared" ca="1" si="0"/>
        <v>0</v>
      </c>
      <c r="C22" s="48">
        <f t="array" aca="1" ref="C22" ca="1">INDIRECT("'" &amp; A22 &amp; "'!D3")</f>
        <v>0</v>
      </c>
      <c r="D22" s="48">
        <f ca="1">C22+3</f>
        <v>3</v>
      </c>
      <c r="F22" s="1"/>
    </row>
    <row r="23" spans="1:6" ht="64" customHeight="1" x14ac:dyDescent="0.2">
      <c r="A23" s="35" t="s">
        <v>35</v>
      </c>
      <c r="B23" s="49">
        <f t="shared" ca="1" si="0"/>
        <v>0</v>
      </c>
      <c r="C23" s="48">
        <f t="array" aca="1" ref="C23" ca="1">INDIRECT("'" &amp; A23 &amp; "'!D3")</f>
        <v>0</v>
      </c>
      <c r="D23" s="48">
        <f ca="1">C23+32</f>
        <v>32</v>
      </c>
      <c r="F23" s="1"/>
    </row>
    <row r="24" spans="1:6" ht="64" customHeight="1" x14ac:dyDescent="0.2">
      <c r="A24" s="35" t="s">
        <v>37</v>
      </c>
      <c r="B24" s="49">
        <f t="shared" ca="1" si="0"/>
        <v>0</v>
      </c>
      <c r="C24" s="48">
        <f t="array" aca="1" ref="C24" ca="1">INDIRECT("'" &amp; A24 &amp; "'!D3")</f>
        <v>0</v>
      </c>
      <c r="D24" s="48">
        <f ca="1">C24+12</f>
        <v>12</v>
      </c>
      <c r="F24" s="1"/>
    </row>
    <row r="25" spans="1:6" ht="64" customHeight="1" x14ac:dyDescent="0.2">
      <c r="A25" s="35" t="s">
        <v>38</v>
      </c>
      <c r="B25" s="49">
        <f t="shared" ca="1" si="0"/>
        <v>0</v>
      </c>
      <c r="C25" s="48">
        <f t="array" aca="1" ref="C25" ca="1">INDIRECT("'" &amp; A25 &amp; "'!D3")</f>
        <v>0</v>
      </c>
      <c r="D25" s="48">
        <f ca="1">C25+27</f>
        <v>27</v>
      </c>
      <c r="F25" s="1"/>
    </row>
    <row r="26" spans="1:6" ht="64" customHeight="1" x14ac:dyDescent="0.2">
      <c r="A26" s="35" t="s">
        <v>39</v>
      </c>
      <c r="B26" s="49">
        <f t="shared" ca="1" si="0"/>
        <v>0</v>
      </c>
      <c r="C26" s="48">
        <f t="array" aca="1" ref="C26" ca="1">INDIRECT("'" &amp; A26 &amp; "'!D3")</f>
        <v>0</v>
      </c>
      <c r="D26" s="48">
        <f ca="1">C26+34</f>
        <v>34</v>
      </c>
      <c r="F26" s="1"/>
    </row>
    <row r="27" spans="1:6" s="15" customFormat="1" ht="64.5" customHeight="1" x14ac:dyDescent="0.2">
      <c r="A27" s="74" t="s">
        <v>22</v>
      </c>
      <c r="B27" s="49">
        <f t="shared" ca="1" si="0"/>
        <v>0</v>
      </c>
      <c r="C27" s="48">
        <f t="array" aca="1" ref="C27" ca="1">INDIRECT("'" &amp; A27 &amp; "'!D3")</f>
        <v>0</v>
      </c>
      <c r="D27" s="48">
        <f ca="1">C27+18</f>
        <v>18</v>
      </c>
    </row>
    <row r="28" spans="1:6" s="15" customFormat="1" ht="64.5" customHeight="1" x14ac:dyDescent="0.2">
      <c r="A28" s="74" t="s">
        <v>23</v>
      </c>
      <c r="B28" s="49">
        <f t="shared" ca="1" si="0"/>
        <v>0</v>
      </c>
      <c r="C28" s="48">
        <f t="array" aca="1" ref="C28" ca="1">INDIRECT("'" &amp; A28 &amp; "'!D3")</f>
        <v>0</v>
      </c>
      <c r="D28" s="48">
        <f ca="1">C28+26</f>
        <v>26</v>
      </c>
    </row>
    <row r="29" spans="1:6" s="15" customFormat="1" ht="64.5" customHeight="1" x14ac:dyDescent="0.2">
      <c r="A29" s="74" t="s">
        <v>24</v>
      </c>
      <c r="B29" s="49">
        <f t="shared" ca="1" si="0"/>
        <v>0</v>
      </c>
      <c r="C29" s="48">
        <f t="array" aca="1" ref="C29" ca="1">INDIRECT("'" &amp; A29 &amp; "'!D3")</f>
        <v>0</v>
      </c>
      <c r="D29" s="48">
        <f ca="1">C29+30</f>
        <v>30</v>
      </c>
    </row>
    <row r="30" spans="1:6" s="15" customFormat="1" ht="64.5" customHeight="1" x14ac:dyDescent="0.2">
      <c r="A30" s="74" t="s">
        <v>25</v>
      </c>
      <c r="B30" s="49">
        <f t="shared" ca="1" si="0"/>
        <v>0</v>
      </c>
      <c r="C30" s="48">
        <f t="array" aca="1" ref="C30" ca="1">INDIRECT("'" &amp; A30 &amp; "'!D3")</f>
        <v>0</v>
      </c>
      <c r="D30" s="48">
        <f ca="1">C30+22</f>
        <v>22</v>
      </c>
    </row>
    <row r="31" spans="1:6" s="15" customFormat="1" ht="64" customHeight="1" x14ac:dyDescent="0.2">
      <c r="A31" s="36" t="s">
        <v>26</v>
      </c>
      <c r="B31" s="49">
        <f t="shared" ca="1" si="0"/>
        <v>0</v>
      </c>
      <c r="C31" s="48">
        <f t="array" aca="1" ref="C31" ca="1">INDIRECT("'" &amp; A31 &amp; "'!D3")</f>
        <v>0</v>
      </c>
      <c r="D31" s="48">
        <f ca="1">C31+1</f>
        <v>1</v>
      </c>
    </row>
    <row r="32" spans="1:6" s="15" customFormat="1" ht="64" customHeight="1" x14ac:dyDescent="0.2">
      <c r="A32" s="36" t="s">
        <v>27</v>
      </c>
      <c r="B32" s="49">
        <f t="shared" ca="1" si="0"/>
        <v>0</v>
      </c>
      <c r="C32" s="48">
        <f t="array" aca="1" ref="C32" ca="1">INDIRECT("'" &amp; A32 &amp; "'!D3")</f>
        <v>0</v>
      </c>
      <c r="D32" s="48">
        <f ca="1">C32+2</f>
        <v>2</v>
      </c>
    </row>
    <row r="33" spans="1:6" customFormat="1" ht="64" customHeight="1" x14ac:dyDescent="0.2">
      <c r="A33" s="74" t="s">
        <v>208</v>
      </c>
      <c r="B33" s="49">
        <f t="shared" ca="1" si="0"/>
        <v>0</v>
      </c>
      <c r="C33" s="48">
        <f t="array" aca="1" ref="C33" ca="1">INDIRECT("'" &amp; A33 &amp; "'!D3")</f>
        <v>0</v>
      </c>
      <c r="D33" s="48">
        <f ca="1">C33+2</f>
        <v>2</v>
      </c>
      <c r="E33" s="22"/>
    </row>
    <row r="34" spans="1:6" s="21" customFormat="1" ht="64" customHeight="1" x14ac:dyDescent="0.2">
      <c r="A34" s="36" t="s">
        <v>41</v>
      </c>
      <c r="B34" s="49">
        <f t="shared" ca="1" si="0"/>
        <v>0</v>
      </c>
      <c r="C34" s="48">
        <f t="array" aca="1" ref="C34" ca="1">INDIRECT("'" &amp; A34 &amp; "'!D3")</f>
        <v>0</v>
      </c>
      <c r="D34" s="48">
        <f ca="1">C34+0</f>
        <v>0</v>
      </c>
      <c r="E34" s="20"/>
    </row>
    <row r="35" spans="1:6" ht="64" customHeight="1" x14ac:dyDescent="0.2">
      <c r="A35" s="36" t="s">
        <v>28</v>
      </c>
      <c r="B35" s="49">
        <f t="shared" ca="1" si="0"/>
        <v>0</v>
      </c>
      <c r="C35" s="48">
        <f t="array" aca="1" ref="C35" ca="1">INDIRECT("'" &amp; A35 &amp; "'!D3")</f>
        <v>0</v>
      </c>
      <c r="D35" s="48">
        <f ca="1">C35+2</f>
        <v>2</v>
      </c>
      <c r="F35" s="1"/>
    </row>
    <row r="36" spans="1:6" customFormat="1" ht="64" customHeight="1" x14ac:dyDescent="0.2">
      <c r="A36" s="74" t="s">
        <v>212</v>
      </c>
      <c r="B36" s="49">
        <f t="shared" ca="1" si="0"/>
        <v>0</v>
      </c>
      <c r="C36" s="48">
        <f t="array" aca="1" ref="C36" ca="1">INDIRECT("'" &amp; A36 &amp; "'!D3")</f>
        <v>0</v>
      </c>
      <c r="D36" s="48">
        <f ca="1">C36+4</f>
        <v>4</v>
      </c>
      <c r="E36" s="22"/>
    </row>
    <row r="37" spans="1:6" customFormat="1" ht="64" customHeight="1" x14ac:dyDescent="0.2">
      <c r="A37" s="74" t="s">
        <v>211</v>
      </c>
      <c r="B37" s="49">
        <f t="shared" ca="1" si="0"/>
        <v>0</v>
      </c>
      <c r="C37" s="48">
        <f t="array" aca="1" ref="C37" ca="1">INDIRECT("'" &amp; A37 &amp; "'!D3")</f>
        <v>0</v>
      </c>
      <c r="D37" s="48">
        <f ca="1">C37+12</f>
        <v>12</v>
      </c>
      <c r="E37" s="22"/>
    </row>
    <row r="38" spans="1:6" customFormat="1" ht="64" customHeight="1" x14ac:dyDescent="0.2">
      <c r="A38" s="74" t="s">
        <v>210</v>
      </c>
      <c r="B38" s="49">
        <f t="shared" ca="1" si="0"/>
        <v>0</v>
      </c>
      <c r="C38" s="48">
        <f t="array" aca="1" ref="C38" ca="1">INDIRECT("'" &amp; A38 &amp; "'!D3")</f>
        <v>0</v>
      </c>
      <c r="D38" s="48">
        <f ca="1">C38+2</f>
        <v>2</v>
      </c>
      <c r="E38" s="22"/>
    </row>
    <row r="39" spans="1:6" ht="64" customHeight="1" x14ac:dyDescent="0.2">
      <c r="A39" s="36" t="s">
        <v>29</v>
      </c>
      <c r="B39" s="49">
        <f t="shared" ca="1" si="0"/>
        <v>0</v>
      </c>
      <c r="C39" s="48">
        <f t="array" aca="1" ref="C39" ca="1">INDIRECT("'" &amp; A39 &amp; "'!D3")</f>
        <v>0</v>
      </c>
      <c r="D39" s="48">
        <f ca="1">C39+0</f>
        <v>0</v>
      </c>
      <c r="F39" s="1"/>
    </row>
    <row r="40" spans="1:6" ht="64" customHeight="1" x14ac:dyDescent="0.2">
      <c r="A40" s="36" t="s">
        <v>30</v>
      </c>
      <c r="B40" s="49">
        <f t="shared" ca="1" si="0"/>
        <v>0</v>
      </c>
      <c r="C40" s="48">
        <f t="array" aca="1" ref="C40" ca="1">INDIRECT("'" &amp; A40 &amp; "'!D3")</f>
        <v>0</v>
      </c>
      <c r="D40" s="48">
        <f ca="1">C40+6</f>
        <v>6</v>
      </c>
      <c r="F40" s="1"/>
    </row>
    <row r="41" spans="1:6" customFormat="1" ht="64" customHeight="1" x14ac:dyDescent="0.2">
      <c r="A41" s="35" t="s">
        <v>40</v>
      </c>
      <c r="B41" s="49">
        <f t="shared" ca="1" si="0"/>
        <v>0</v>
      </c>
      <c r="C41" s="48">
        <f t="array" aca="1" ref="C41" ca="1">INDIRECT("'" &amp; A41 &amp; "'!D3")</f>
        <v>0</v>
      </c>
      <c r="D41" s="48">
        <f ca="1">C41+10</f>
        <v>10</v>
      </c>
      <c r="E41" s="22"/>
    </row>
    <row r="42" spans="1:6" s="15" customFormat="1" ht="64.5" customHeight="1" x14ac:dyDescent="0.2">
      <c r="A42" s="74" t="s">
        <v>21</v>
      </c>
      <c r="B42" s="49">
        <f t="shared" ca="1" si="0"/>
        <v>0</v>
      </c>
      <c r="C42" s="48">
        <f t="array" aca="1" ref="C42" ca="1">INDIRECT("'" &amp; A42 &amp; "'!D3")</f>
        <v>0</v>
      </c>
      <c r="D42" s="48">
        <f ca="1">C42+34</f>
        <v>34</v>
      </c>
    </row>
    <row r="43" spans="1:6" customFormat="1" ht="64" customHeight="1" x14ac:dyDescent="0.2">
      <c r="A43" s="46" t="s">
        <v>325</v>
      </c>
      <c r="B43" s="49">
        <f t="shared" ca="1" si="0"/>
        <v>0</v>
      </c>
      <c r="C43" s="48">
        <f t="array" aca="1" ref="C43" ca="1">INDIRECT("'" &amp; A43 &amp; "'!D3")</f>
        <v>0</v>
      </c>
      <c r="D43" s="48">
        <f ca="1">C43+47</f>
        <v>47</v>
      </c>
      <c r="E43" s="22"/>
    </row>
    <row r="44" spans="1:6" customFormat="1" ht="64" customHeight="1" x14ac:dyDescent="0.2">
      <c r="A44" s="74" t="s">
        <v>209</v>
      </c>
      <c r="B44" s="49">
        <f t="shared" ca="1" si="0"/>
        <v>0</v>
      </c>
      <c r="C44" s="48">
        <f t="array" aca="1" ref="C44" ca="1">INDIRECT("'" &amp; A44 &amp; "'!D3")</f>
        <v>0</v>
      </c>
      <c r="D44" s="48">
        <f ca="1">C44+22</f>
        <v>22</v>
      </c>
      <c r="E44" s="22"/>
    </row>
    <row r="45" spans="1:6" customFormat="1" ht="64" customHeight="1" x14ac:dyDescent="0.2">
      <c r="A45" s="74" t="s">
        <v>269</v>
      </c>
      <c r="B45" s="49">
        <f t="shared" ca="1" si="0"/>
        <v>0</v>
      </c>
      <c r="C45" s="48">
        <f t="array" aca="1" ref="C45" ca="1">INDIRECT("'" &amp; A45 &amp; "'!D3")</f>
        <v>0</v>
      </c>
      <c r="D45" s="48">
        <f ca="1">C45+1</f>
        <v>1</v>
      </c>
      <c r="E45" s="22"/>
    </row>
    <row r="46" spans="1:6" customFormat="1" ht="64" customHeight="1" x14ac:dyDescent="0.2">
      <c r="A46" s="35" t="s">
        <v>283</v>
      </c>
      <c r="B46" s="49">
        <f t="shared" ca="1" si="0"/>
        <v>0</v>
      </c>
      <c r="C46" s="48">
        <f t="array" aca="1" ref="C46" ca="1">INDIRECT("'" &amp; A46 &amp; "'!D3")</f>
        <v>0</v>
      </c>
      <c r="D46" s="48">
        <f ca="1">C46+4</f>
        <v>4</v>
      </c>
      <c r="E46" s="22"/>
    </row>
    <row r="47" spans="1:6" customFormat="1" ht="64" customHeight="1" x14ac:dyDescent="0.2">
      <c r="A47" s="74" t="s">
        <v>284</v>
      </c>
      <c r="B47" s="49">
        <f t="shared" ca="1" si="0"/>
        <v>0</v>
      </c>
      <c r="C47" s="48">
        <f t="array" aca="1" ref="C47" ca="1">INDIRECT("'" &amp; A47 &amp; "'!D3")</f>
        <v>0</v>
      </c>
      <c r="D47" s="48">
        <f ca="1">C47+2</f>
        <v>2</v>
      </c>
      <c r="E47" s="22"/>
    </row>
    <row r="48" spans="1:6" customFormat="1" ht="64" customHeight="1" x14ac:dyDescent="0.2">
      <c r="A48" s="74" t="s">
        <v>345</v>
      </c>
      <c r="B48" s="49">
        <f ca="1">IFERROR(
  COUNTIFS(
    INDIRECT("'" &amp; $A48 &amp; "'!E:E"), "&gt;=" &amp; $B$3-7,
    INDIRECT("'" &amp; $A48 &amp; "'!E:E"), "&lt;=" &amp; $B$3
  ),
0)</f>
        <v>0</v>
      </c>
      <c r="C48" s="48">
        <f t="array" aca="1" ref="C48" ca="1">INDIRECT("'" &amp; A48 &amp; "'!D3")</f>
        <v>0</v>
      </c>
      <c r="D48" s="48">
        <f ca="1">C48+0</f>
        <v>0</v>
      </c>
      <c r="E48" s="22"/>
    </row>
    <row r="49" spans="1:5" customFormat="1" ht="16" x14ac:dyDescent="0.2">
      <c r="A49" s="22"/>
      <c r="B49" s="22"/>
      <c r="C49" s="25"/>
      <c r="D49" s="25"/>
      <c r="E49" s="22"/>
    </row>
    <row r="50" spans="1:5" customFormat="1" ht="16" x14ac:dyDescent="0.2">
      <c r="A50" s="22"/>
      <c r="B50" s="22"/>
      <c r="C50" s="25"/>
      <c r="D50" s="25"/>
      <c r="E50" s="22"/>
    </row>
    <row r="51" spans="1:5" customFormat="1" ht="16" x14ac:dyDescent="0.2">
      <c r="A51" s="22"/>
      <c r="B51" s="22"/>
      <c r="C51" s="25"/>
      <c r="D51" s="25"/>
      <c r="E51" s="22"/>
    </row>
    <row r="52" spans="1:5" customFormat="1" ht="16" x14ac:dyDescent="0.2">
      <c r="A52" s="22"/>
      <c r="B52" s="22"/>
      <c r="C52" s="25"/>
      <c r="D52" s="25"/>
      <c r="E52" s="22"/>
    </row>
    <row r="53" spans="1:5" customFormat="1" ht="16" x14ac:dyDescent="0.2">
      <c r="A53" s="22"/>
      <c r="B53" s="22"/>
      <c r="C53" s="25"/>
      <c r="D53" s="25"/>
      <c r="E53" s="22"/>
    </row>
    <row r="54" spans="1:5" customFormat="1" ht="16" x14ac:dyDescent="0.2">
      <c r="A54" s="22"/>
      <c r="B54" s="22"/>
      <c r="C54" s="25"/>
      <c r="D54" s="25"/>
      <c r="E54" s="22"/>
    </row>
    <row r="55" spans="1:5" customFormat="1" ht="16" x14ac:dyDescent="0.2">
      <c r="A55" s="22"/>
      <c r="B55" s="22"/>
      <c r="C55" s="25"/>
      <c r="D55" s="25"/>
      <c r="E55" s="22"/>
    </row>
    <row r="56" spans="1:5" customFormat="1" ht="16" x14ac:dyDescent="0.2">
      <c r="A56" s="22"/>
      <c r="B56" s="22"/>
      <c r="C56" s="25"/>
      <c r="D56" s="25"/>
      <c r="E56" s="22"/>
    </row>
    <row r="57" spans="1:5" customFormat="1" ht="16" x14ac:dyDescent="0.2">
      <c r="A57" s="22"/>
      <c r="B57" s="22"/>
      <c r="C57" s="25"/>
      <c r="D57" s="25"/>
      <c r="E57" s="22"/>
    </row>
    <row r="58" spans="1:5" customFormat="1" ht="16" x14ac:dyDescent="0.2">
      <c r="A58" s="22"/>
      <c r="B58" s="22"/>
      <c r="C58" s="25"/>
      <c r="D58" s="25"/>
      <c r="E58" s="22"/>
    </row>
    <row r="59" spans="1:5" customFormat="1" ht="16" x14ac:dyDescent="0.2">
      <c r="A59" s="22"/>
      <c r="B59" s="22"/>
      <c r="C59" s="25"/>
      <c r="D59" s="25"/>
      <c r="E59" s="22"/>
    </row>
    <row r="60" spans="1:5" customFormat="1" ht="16" x14ac:dyDescent="0.2">
      <c r="A60" s="22"/>
      <c r="B60" s="22"/>
      <c r="C60" s="25"/>
      <c r="D60" s="25"/>
      <c r="E60" s="22"/>
    </row>
    <row r="61" spans="1:5" customFormat="1" ht="16" x14ac:dyDescent="0.2">
      <c r="A61" s="22"/>
      <c r="B61" s="22"/>
      <c r="C61" s="25"/>
      <c r="D61" s="25"/>
      <c r="E61" s="22"/>
    </row>
    <row r="62" spans="1:5" customFormat="1" ht="16" x14ac:dyDescent="0.2">
      <c r="A62" s="22"/>
      <c r="B62" s="22"/>
      <c r="C62" s="25"/>
      <c r="D62" s="25"/>
      <c r="E62" s="22"/>
    </row>
    <row r="63" spans="1:5" customFormat="1" ht="16" x14ac:dyDescent="0.2">
      <c r="A63" s="22"/>
      <c r="B63" s="22"/>
      <c r="C63" s="25"/>
      <c r="D63" s="25"/>
      <c r="E63" s="22"/>
    </row>
    <row r="64" spans="1:5" customFormat="1" ht="16" x14ac:dyDescent="0.2">
      <c r="A64" s="22"/>
      <c r="B64" s="22"/>
      <c r="C64" s="25"/>
      <c r="D64" s="25"/>
      <c r="E64" s="22"/>
    </row>
    <row r="65" spans="1:5" customFormat="1" ht="16" x14ac:dyDescent="0.2">
      <c r="A65" s="22"/>
      <c r="B65" s="22"/>
      <c r="C65" s="25"/>
      <c r="D65" s="25"/>
      <c r="E65" s="22"/>
    </row>
    <row r="66" spans="1:5" customFormat="1" ht="16" x14ac:dyDescent="0.2">
      <c r="A66" s="22"/>
      <c r="B66" s="22"/>
      <c r="C66" s="25"/>
      <c r="D66" s="25"/>
      <c r="E66" s="22"/>
    </row>
    <row r="67" spans="1:5" customFormat="1" ht="16" x14ac:dyDescent="0.2">
      <c r="A67" s="22"/>
      <c r="B67" s="22"/>
      <c r="C67" s="25"/>
      <c r="D67" s="25"/>
      <c r="E67" s="22"/>
    </row>
    <row r="68" spans="1:5" customFormat="1" ht="16" x14ac:dyDescent="0.2">
      <c r="A68" s="22"/>
      <c r="B68" s="22"/>
      <c r="C68" s="25"/>
      <c r="D68" s="25"/>
      <c r="E68" s="22"/>
    </row>
    <row r="69" spans="1:5" customFormat="1" ht="16" x14ac:dyDescent="0.2">
      <c r="A69" s="22"/>
      <c r="B69" s="22"/>
      <c r="C69" s="25"/>
      <c r="D69" s="25"/>
      <c r="E69" s="22"/>
    </row>
    <row r="70" spans="1:5" customFormat="1" ht="16" x14ac:dyDescent="0.2">
      <c r="A70" s="22"/>
      <c r="B70" s="22"/>
      <c r="C70" s="25"/>
      <c r="D70" s="25"/>
      <c r="E70" s="22"/>
    </row>
    <row r="71" spans="1:5" customFormat="1" ht="16" x14ac:dyDescent="0.2">
      <c r="A71" s="22"/>
      <c r="B71" s="22"/>
      <c r="C71" s="25"/>
      <c r="D71" s="25"/>
      <c r="E71" s="22"/>
    </row>
    <row r="72" spans="1:5" customFormat="1" ht="16" x14ac:dyDescent="0.2">
      <c r="A72" s="22"/>
      <c r="B72" s="22"/>
      <c r="C72" s="25"/>
      <c r="D72" s="25"/>
      <c r="E72" s="22"/>
    </row>
    <row r="73" spans="1:5" customFormat="1" ht="16" x14ac:dyDescent="0.2">
      <c r="A73" s="22"/>
      <c r="B73" s="22"/>
      <c r="C73" s="25"/>
      <c r="D73" s="25"/>
      <c r="E73" s="22"/>
    </row>
    <row r="74" spans="1:5" customFormat="1" ht="16" x14ac:dyDescent="0.2">
      <c r="A74" s="22"/>
      <c r="B74" s="22"/>
      <c r="C74" s="25"/>
      <c r="D74" s="25"/>
      <c r="E74" s="22"/>
    </row>
    <row r="75" spans="1:5" customFormat="1" ht="16" x14ac:dyDescent="0.2">
      <c r="A75" s="22"/>
      <c r="B75" s="22"/>
      <c r="C75" s="25"/>
      <c r="D75" s="25"/>
      <c r="E75" s="22"/>
    </row>
    <row r="76" spans="1:5" customFormat="1" ht="16" x14ac:dyDescent="0.2">
      <c r="A76" s="22"/>
      <c r="B76" s="22"/>
      <c r="C76" s="25"/>
      <c r="D76" s="25"/>
      <c r="E76" s="22"/>
    </row>
    <row r="77" spans="1:5" customFormat="1" ht="16" x14ac:dyDescent="0.2">
      <c r="A77" s="22"/>
      <c r="B77" s="22"/>
      <c r="C77" s="25"/>
      <c r="D77" s="25"/>
      <c r="E77" s="22"/>
    </row>
    <row r="78" spans="1:5" customFormat="1" ht="16" x14ac:dyDescent="0.2">
      <c r="A78" s="22"/>
      <c r="B78" s="22"/>
      <c r="C78" s="25"/>
      <c r="D78" s="25"/>
      <c r="E78" s="22"/>
    </row>
    <row r="79" spans="1:5" customFormat="1" ht="16" x14ac:dyDescent="0.2">
      <c r="A79" s="22"/>
      <c r="B79" s="22"/>
      <c r="C79" s="25"/>
      <c r="D79" s="25"/>
      <c r="E79" s="22"/>
    </row>
    <row r="80" spans="1:5" customFormat="1" ht="16" x14ac:dyDescent="0.2">
      <c r="A80" s="22"/>
      <c r="B80" s="22"/>
      <c r="C80" s="25"/>
      <c r="D80" s="25"/>
      <c r="E80" s="22"/>
    </row>
    <row r="81" spans="1:5" customFormat="1" ht="16" x14ac:dyDescent="0.2">
      <c r="A81" s="22"/>
      <c r="B81" s="22"/>
      <c r="C81" s="25"/>
      <c r="D81" s="25"/>
      <c r="E81" s="22"/>
    </row>
    <row r="82" spans="1:5" customFormat="1" ht="16" x14ac:dyDescent="0.2">
      <c r="A82" s="22"/>
      <c r="B82" s="22"/>
      <c r="C82" s="25"/>
      <c r="D82" s="25"/>
      <c r="E82" s="22"/>
    </row>
    <row r="83" spans="1:5" customFormat="1" ht="16" x14ac:dyDescent="0.2">
      <c r="A83" s="22"/>
      <c r="B83" s="22"/>
      <c r="C83" s="25"/>
      <c r="D83" s="25"/>
      <c r="E83" s="22"/>
    </row>
    <row r="84" spans="1:5" customFormat="1" ht="16" x14ac:dyDescent="0.2">
      <c r="A84" s="22"/>
      <c r="B84" s="22"/>
      <c r="C84" s="25"/>
      <c r="D84" s="25"/>
      <c r="E84" s="22"/>
    </row>
    <row r="85" spans="1:5" customFormat="1" ht="16" x14ac:dyDescent="0.2">
      <c r="A85" s="22"/>
      <c r="B85" s="22"/>
      <c r="C85" s="25"/>
      <c r="D85" s="25"/>
      <c r="E85" s="22"/>
    </row>
    <row r="86" spans="1:5" customFormat="1" ht="16" x14ac:dyDescent="0.2">
      <c r="A86" s="22"/>
      <c r="B86" s="22"/>
      <c r="C86" s="25"/>
      <c r="D86" s="25"/>
      <c r="E86" s="22"/>
    </row>
    <row r="87" spans="1:5" customFormat="1" ht="16" x14ac:dyDescent="0.2">
      <c r="A87" s="22"/>
      <c r="B87" s="22"/>
      <c r="C87" s="25"/>
      <c r="D87" s="25"/>
      <c r="E87" s="22"/>
    </row>
    <row r="88" spans="1:5" customFormat="1" ht="16" x14ac:dyDescent="0.2">
      <c r="A88" s="22"/>
      <c r="B88" s="22"/>
      <c r="C88" s="25"/>
      <c r="D88" s="25"/>
      <c r="E88" s="22"/>
    </row>
    <row r="89" spans="1:5" customFormat="1" ht="16" x14ac:dyDescent="0.2">
      <c r="A89" s="22"/>
      <c r="B89" s="22"/>
      <c r="C89" s="25"/>
      <c r="D89" s="25"/>
      <c r="E89" s="22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1"/>
  <sheetViews>
    <sheetView showGridLines="0" topLeftCell="A2" zoomScale="50" zoomScaleNormal="50" zoomScaleSheetLayoutView="30" zoomScalePageLayoutView="50" workbookViewId="0">
      <selection activeCell="C20" sqref="C20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82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51">
        <v>46119</v>
      </c>
      <c r="D3"/>
    </row>
    <row r="4" spans="1:14" s="15" customFormat="1" ht="50" customHeight="1" x14ac:dyDescent="0.2">
      <c r="A4" s="29"/>
      <c r="B4" s="30"/>
      <c r="C4" s="1"/>
      <c r="D4"/>
    </row>
    <row r="5" spans="1:14" s="15" customFormat="1" ht="50" customHeight="1" x14ac:dyDescent="0.2">
      <c r="A5" s="34" t="s">
        <v>19</v>
      </c>
      <c r="B5" s="32" t="s">
        <v>3</v>
      </c>
      <c r="C5" s="32" t="s">
        <v>181</v>
      </c>
      <c r="D5" s="32" t="s">
        <v>180</v>
      </c>
      <c r="E5" s="16"/>
      <c r="F5" s="16"/>
      <c r="G5" s="16"/>
      <c r="H5" s="16"/>
      <c r="I5" s="16"/>
      <c r="J5" s="16"/>
      <c r="K5" s="16"/>
      <c r="L5" s="16"/>
      <c r="M5" s="16"/>
      <c r="N5" s="16"/>
    </row>
    <row r="6" spans="1:14" s="16" customFormat="1" ht="50" customHeight="1" x14ac:dyDescent="0.2">
      <c r="A6" s="11" t="s">
        <v>20</v>
      </c>
      <c r="B6" s="31" t="s">
        <v>7</v>
      </c>
      <c r="C6" s="12" t="s">
        <v>184</v>
      </c>
      <c r="D6" s="12" t="s">
        <v>183</v>
      </c>
      <c r="E6" s="17"/>
      <c r="F6" s="17"/>
      <c r="G6" s="17"/>
      <c r="H6" s="17"/>
      <c r="I6" s="15"/>
      <c r="J6" s="17"/>
      <c r="K6" s="17"/>
      <c r="L6" s="17"/>
      <c r="M6" s="17"/>
      <c r="N6" s="17"/>
    </row>
    <row r="7" spans="1:14" s="16" customFormat="1" ht="50" customHeight="1" x14ac:dyDescent="0.2">
      <c r="A7" s="46" t="s">
        <v>260</v>
      </c>
      <c r="B7" s="41" t="s">
        <v>170</v>
      </c>
      <c r="C7" s="35">
        <f ca="1">IFERROR(
   COUNTIF(INDIRECT("'" &amp; LOOKUP("zzz",$A$7:A7) &amp; "'!C:C"), B7),
   0
)</f>
        <v>0</v>
      </c>
      <c r="D7" s="79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7"/>
      <c r="F7" s="17"/>
      <c r="G7" s="17"/>
      <c r="H7" s="17"/>
      <c r="I7" s="15"/>
      <c r="J7" s="17"/>
      <c r="K7" s="17"/>
      <c r="L7" s="17"/>
      <c r="M7" s="17"/>
      <c r="N7" s="17"/>
    </row>
    <row r="8" spans="1:14" s="17" customFormat="1" ht="50" customHeight="1" x14ac:dyDescent="0.2">
      <c r="A8" s="35"/>
      <c r="B8" s="39" t="s">
        <v>171</v>
      </c>
      <c r="C8" s="35">
        <f ca="1">IFERROR(
   COUNTIF(INDIRECT("'" &amp; LOOKUP("zzz",$A$7:A8) &amp; "'!C:C"), B8),
   0
)</f>
        <v>0</v>
      </c>
      <c r="D8" s="79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33"/>
      <c r="F8" s="15"/>
      <c r="G8" s="15"/>
      <c r="H8" s="15"/>
      <c r="J8" s="15"/>
      <c r="K8" s="15"/>
      <c r="L8" s="15"/>
      <c r="M8" s="15"/>
      <c r="N8" s="15"/>
    </row>
    <row r="9" spans="1:14" s="15" customFormat="1" ht="50" customHeight="1" x14ac:dyDescent="0.2">
      <c r="A9" s="35"/>
      <c r="B9" s="39" t="s">
        <v>169</v>
      </c>
      <c r="C9" s="35">
        <f ca="1">IFERROR(
   COUNTIF(INDIRECT("'" &amp; LOOKUP("zzz",$A$7:A9) &amp; "'!C:C"), B9),
   0
)</f>
        <v>0</v>
      </c>
      <c r="D9" s="79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5" customFormat="1" ht="50" customHeight="1" x14ac:dyDescent="0.2">
      <c r="A10" s="35"/>
      <c r="B10" s="39" t="s">
        <v>176</v>
      </c>
      <c r="C10" s="35">
        <f ca="1">IFERROR(
   COUNTIF(INDIRECT("'" &amp; LOOKUP("zzz",$A$7:A10) &amp; "'!C:C"), B10),
   0
)</f>
        <v>0</v>
      </c>
      <c r="D10" s="79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5" customFormat="1" ht="50" customHeight="1" x14ac:dyDescent="0.2">
      <c r="A11" s="35"/>
      <c r="B11" s="39" t="s">
        <v>12</v>
      </c>
      <c r="C11" s="35">
        <f ca="1">IFERROR(
   COUNTIF(INDIRECT("'" &amp; LOOKUP("zzz",$A$7:A11) &amp; "'!C:C"), B11),
   0
)</f>
        <v>0</v>
      </c>
      <c r="D11" s="79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5" customFormat="1" ht="50" customHeight="1" x14ac:dyDescent="0.2">
      <c r="A12" s="35"/>
      <c r="B12" s="39" t="s">
        <v>322</v>
      </c>
      <c r="C12" s="35">
        <f ca="1">IFERROR(
   COUNTIF(INDIRECT("'" &amp; LOOKUP("zzz",$A$7:A12) &amp; "'!C:C"), B12),
   0
)</f>
        <v>0</v>
      </c>
      <c r="D12" s="79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5" customFormat="1" ht="50" customHeight="1" x14ac:dyDescent="0.2">
      <c r="A13" s="35"/>
      <c r="B13" s="39" t="s">
        <v>326</v>
      </c>
      <c r="C13" s="35">
        <f ca="1">IFERROR(
   COUNTIF(INDIRECT("'" &amp; LOOKUP("zzz",$A$7:A13) &amp; "'!C:C"), B13),
   0
)</f>
        <v>0</v>
      </c>
      <c r="D13" s="79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5" customFormat="1" ht="50" customHeight="1" x14ac:dyDescent="0.2">
      <c r="A14" s="35"/>
      <c r="B14" s="39" t="s">
        <v>175</v>
      </c>
      <c r="C14" s="35">
        <f ca="1">IFERROR(
   COUNTIF(INDIRECT("'" &amp; LOOKUP("zzz",$A$7:A14) &amp; "'!C:C"), B14),
   0
)</f>
        <v>0</v>
      </c>
      <c r="D14" s="79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5" customFormat="1" ht="50" customHeight="1" x14ac:dyDescent="0.2">
      <c r="A15" s="35"/>
      <c r="B15" s="39" t="s">
        <v>177</v>
      </c>
      <c r="C15" s="35">
        <f ca="1">IFERROR(
   COUNTIF(INDIRECT("'" &amp; LOOKUP("zzz",$A$7:A15) &amp; "'!C:C"), B15),
   0
)</f>
        <v>0</v>
      </c>
      <c r="D15" s="79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5" customFormat="1" ht="50" customHeight="1" x14ac:dyDescent="0.2">
      <c r="A16" s="35"/>
      <c r="B16" s="39" t="s">
        <v>172</v>
      </c>
      <c r="C16" s="35">
        <f ca="1">IFERROR(
   COUNTIF(INDIRECT("'" &amp; LOOKUP("zzz",$A$7:A16) &amp; "'!C:C"), B16),
   0
)</f>
        <v>0</v>
      </c>
      <c r="D16" s="79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5" customFormat="1" ht="50" customHeight="1" x14ac:dyDescent="0.2">
      <c r="A17" s="35"/>
      <c r="B17" s="39" t="s">
        <v>327</v>
      </c>
      <c r="C17" s="35">
        <f ca="1">IFERROR(
   COUNTIF(INDIRECT("'" &amp; LOOKUP("zzz",$A$7:A17) &amp; "'!C:C"), B17),
   0
)</f>
        <v>0</v>
      </c>
      <c r="D17" s="79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5" customFormat="1" ht="50" customHeight="1" x14ac:dyDescent="0.2">
      <c r="A18" s="44"/>
      <c r="B18" s="43" t="s">
        <v>178</v>
      </c>
      <c r="C18" s="44">
        <f ca="1">IFERROR(
   COUNTIF(INDIRECT("'" &amp; LOOKUP("zzz",$A$7:A18) &amp; "'!C:C"), B18),
   0
)</f>
        <v>0</v>
      </c>
      <c r="D18" s="48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5" customFormat="1" ht="50" customHeight="1" x14ac:dyDescent="0.2">
      <c r="A19" s="46" t="s">
        <v>257</v>
      </c>
      <c r="B19" s="41" t="s">
        <v>151</v>
      </c>
      <c r="C19" s="35">
        <f ca="1">IFERROR(
   COUNTIF(INDIRECT("'" &amp; LOOKUP("zzz",$A$7:A19) &amp; "'!C:C"), B19),
   0
)</f>
        <v>0</v>
      </c>
      <c r="D19" s="80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5" customFormat="1" ht="50" customHeight="1" x14ac:dyDescent="0.2">
      <c r="A20" s="35"/>
      <c r="B20" s="39" t="s">
        <v>152</v>
      </c>
      <c r="C20" s="35">
        <f ca="1">IFERROR(
   COUNTIF(INDIRECT("'" &amp; LOOKUP("zzz",$A$7:A20) &amp; "'!C:C"), B20),
   0
)</f>
        <v>0</v>
      </c>
      <c r="D20" s="48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5" customFormat="1" ht="50" customHeight="1" x14ac:dyDescent="0.2">
      <c r="A21" s="35"/>
      <c r="B21" s="39" t="s">
        <v>153</v>
      </c>
      <c r="C21" s="35">
        <f ca="1">IFERROR(
   COUNTIF(INDIRECT("'" &amp; LOOKUP("zzz",$A$7:A21) &amp; "'!C:C"), B21),
   0
)</f>
        <v>0</v>
      </c>
      <c r="D21" s="48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5" customFormat="1" ht="50" customHeight="1" x14ac:dyDescent="0.2">
      <c r="A22" s="35"/>
      <c r="B22" s="39" t="s">
        <v>154</v>
      </c>
      <c r="C22" s="35">
        <f ca="1">IFERROR(
   COUNTIF(INDIRECT("'" &amp; LOOKUP("zzz",$A$7:A22) &amp; "'!C:C"), B22),
   0
)</f>
        <v>0</v>
      </c>
      <c r="D22" s="48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21" customFormat="1" ht="50" customHeight="1" x14ac:dyDescent="0.2">
      <c r="A23" s="35"/>
      <c r="B23" s="39" t="s">
        <v>155</v>
      </c>
      <c r="C23" s="35">
        <f ca="1">IFERROR(
   COUNTIF(INDIRECT("'" &amp; LOOKUP("zzz",$A$7:A23) &amp; "'!C:C"), B23),
   0
)</f>
        <v>0</v>
      </c>
      <c r="D23" s="48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35"/>
      <c r="B24" s="39" t="s">
        <v>156</v>
      </c>
      <c r="C24" s="35">
        <f ca="1">IFERROR(
   COUNTIF(INDIRECT("'" &amp; LOOKUP("zzz",$A$7:A24) &amp; "'!C:C"), B24),
   0
)</f>
        <v>0</v>
      </c>
      <c r="D24" s="48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35"/>
      <c r="B25" s="39" t="s">
        <v>158</v>
      </c>
      <c r="C25" s="35">
        <f ca="1">IFERROR(
   COUNTIF(INDIRECT("'" &amp; LOOKUP("zzz",$A$7:A25) &amp; "'!C:C"), B25),
   0
)</f>
        <v>0</v>
      </c>
      <c r="D25" s="48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35"/>
      <c r="B26" s="39" t="s">
        <v>159</v>
      </c>
      <c r="C26" s="35">
        <f ca="1">IFERROR(
   COUNTIF(INDIRECT("'" &amp; LOOKUP("zzz",$A$7:A26) &amp; "'!C:C"), B26),
   0
)</f>
        <v>0</v>
      </c>
      <c r="D26" s="48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35"/>
      <c r="B27" s="39" t="s">
        <v>160</v>
      </c>
      <c r="C27" s="35">
        <f ca="1">IFERROR(
   COUNTIF(INDIRECT("'" &amp; LOOKUP("zzz",$A$7:A27) &amp; "'!C:C"), B27),
   0
)</f>
        <v>0</v>
      </c>
      <c r="D27" s="48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35"/>
      <c r="B28" s="39" t="s">
        <v>161</v>
      </c>
      <c r="C28" s="35">
        <f ca="1">IFERROR(
   COUNTIF(INDIRECT("'" &amp; LOOKUP("zzz",$A$7:A28) &amp; "'!C:C"), B28),
   0
)</f>
        <v>0</v>
      </c>
      <c r="D28" s="48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35"/>
      <c r="B29" s="39" t="s">
        <v>162</v>
      </c>
      <c r="C29" s="35">
        <f ca="1">IFERROR(
   COUNTIF(INDIRECT("'" &amp; LOOKUP("zzz",$A$7:A29) &amp; "'!C:C"), B29),
   0
)</f>
        <v>0</v>
      </c>
      <c r="D29" s="48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35"/>
      <c r="B30" s="39" t="s">
        <v>163</v>
      </c>
      <c r="C30" s="35">
        <f ca="1">IFERROR(
   COUNTIF(INDIRECT("'" &amp; LOOKUP("zzz",$A$7:A30) &amp; "'!C:C"), B30),
   0
)</f>
        <v>0</v>
      </c>
      <c r="D30" s="48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35"/>
      <c r="B31" s="39" t="s">
        <v>265</v>
      </c>
      <c r="C31" s="35">
        <f ca="1">IFERROR(
   COUNTIF(INDIRECT("'" &amp; LOOKUP("zzz",$A$7:A31) &amp; "'!C:C"), B31),
   0
)</f>
        <v>0</v>
      </c>
      <c r="D31" s="48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35"/>
      <c r="B32" s="39" t="s">
        <v>266</v>
      </c>
      <c r="C32" s="35">
        <f ca="1">IFERROR(
   COUNTIF(INDIRECT("'" &amp; LOOKUP("zzz",$A$7:A32) &amp; "'!C:C"), B32),
   0
)</f>
        <v>0</v>
      </c>
      <c r="D32" s="48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35"/>
      <c r="B33" s="39" t="s">
        <v>267</v>
      </c>
      <c r="C33" s="35">
        <f ca="1">IFERROR(
   COUNTIF(INDIRECT("'" &amp; LOOKUP("zzz",$A$7:A33) &amp; "'!C:C"), B33),
   0
)</f>
        <v>0</v>
      </c>
      <c r="D33" s="48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35"/>
      <c r="B34" s="39" t="s">
        <v>164</v>
      </c>
      <c r="C34" s="35">
        <f ca="1">IFERROR(
   COUNTIF(INDIRECT("'" &amp; LOOKUP("zzz",$A$7:A34) &amp; "'!C:C"), B34),
   0
)</f>
        <v>0</v>
      </c>
      <c r="D34" s="48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35"/>
      <c r="B35" s="39" t="s">
        <v>165</v>
      </c>
      <c r="C35" s="35">
        <f ca="1">IFERROR(
   COUNTIF(INDIRECT("'" &amp; LOOKUP("zzz",$A$7:A35) &amp; "'!C:C"), B35),
   0
)</f>
        <v>0</v>
      </c>
      <c r="D35" s="48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35"/>
      <c r="B36" s="39" t="s">
        <v>166</v>
      </c>
      <c r="C36" s="35">
        <f ca="1">IFERROR(
   COUNTIF(INDIRECT("'" &amp; LOOKUP("zzz",$A$7:A36) &amp; "'!C:C"), B36),
   0
)</f>
        <v>0</v>
      </c>
      <c r="D36" s="48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35"/>
      <c r="B37" s="39" t="s">
        <v>167</v>
      </c>
      <c r="C37" s="35">
        <f ca="1">IFERROR(
   COUNTIF(INDIRECT("'" &amp; LOOKUP("zzz",$A$7:A37) &amp; "'!C:C"), B37),
   0
)</f>
        <v>0</v>
      </c>
      <c r="D37" s="48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44"/>
      <c r="B38" s="43" t="s">
        <v>168</v>
      </c>
      <c r="C38" s="44">
        <f ca="1">IFERROR(
   COUNTIF(INDIRECT("'" &amp; LOOKUP("zzz",$A$7:A38) &amp; "'!C:C"), B38),
   0
)</f>
        <v>0</v>
      </c>
      <c r="D38" s="81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35" t="s">
        <v>256</v>
      </c>
      <c r="B39" s="39" t="s">
        <v>143</v>
      </c>
      <c r="C39" s="35">
        <f ca="1">IFERROR(
   COUNTIF(INDIRECT("'" &amp; LOOKUP("zzz",$A$7:A39) &amp; "'!C:C"), B39),
   0
)</f>
        <v>0</v>
      </c>
      <c r="D39" s="80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35"/>
      <c r="B40" s="39" t="s">
        <v>144</v>
      </c>
      <c r="C40" s="35">
        <f ca="1">IFERROR(
   COUNTIF(INDIRECT("'" &amp; LOOKUP("zzz",$A$7:A40) &amp; "'!C:C"), B40),
   0
)</f>
        <v>0</v>
      </c>
      <c r="D40" s="48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35"/>
      <c r="B41" s="39" t="s">
        <v>145</v>
      </c>
      <c r="C41" s="35">
        <f ca="1">IFERROR(
   COUNTIF(INDIRECT("'" &amp; LOOKUP("zzz",$A$7:A41) &amp; "'!C:C"), B41),
   0
)</f>
        <v>0</v>
      </c>
      <c r="D41" s="48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35"/>
      <c r="B42" s="39" t="s">
        <v>146</v>
      </c>
      <c r="C42" s="35">
        <f ca="1">IFERROR(
   COUNTIF(INDIRECT("'" &amp; LOOKUP("zzz",$A$7:A42) &amp; "'!C:C"), B42),
   0
)</f>
        <v>0</v>
      </c>
      <c r="D42" s="48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35"/>
      <c r="B43" s="39" t="s">
        <v>147</v>
      </c>
      <c r="C43" s="35">
        <f ca="1">IFERROR(
   COUNTIF(INDIRECT("'" &amp; LOOKUP("zzz",$A$7:A43) &amp; "'!C:C"), B43),
   0
)</f>
        <v>0</v>
      </c>
      <c r="D43" s="48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35"/>
      <c r="B44" s="39" t="s">
        <v>148</v>
      </c>
      <c r="C44" s="35">
        <f ca="1">IFERROR(
   COUNTIF(INDIRECT("'" &amp; LOOKUP("zzz",$A$7:A44) &amp; "'!C:C"), B44),
   0
)</f>
        <v>0</v>
      </c>
      <c r="D44" s="48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35"/>
      <c r="B45" s="39" t="s">
        <v>149</v>
      </c>
      <c r="C45" s="35">
        <f ca="1">IFERROR(
   COUNTIF(INDIRECT("'" &amp; LOOKUP("zzz",$A$7:A45) &amp; "'!C:C"), B45),
   0
)</f>
        <v>0</v>
      </c>
      <c r="D45" s="48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50"/>
      <c r="B46" s="59" t="s">
        <v>190</v>
      </c>
      <c r="C46" s="35">
        <f ca="1">IFERROR(
   COUNTIF(INDIRECT("'" &amp; LOOKUP("zzz",$A$7:A46) &amp; "'!C:C"), B46),
   0
)</f>
        <v>0</v>
      </c>
      <c r="D46" s="48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50"/>
      <c r="B47" s="59" t="s">
        <v>193</v>
      </c>
      <c r="C47" s="35">
        <f ca="1">IFERROR(
   COUNTIF(INDIRECT("'" &amp; LOOKUP("zzz",$A$7:A47) &amp; "'!C:C"), B47),
   0
)</f>
        <v>0</v>
      </c>
      <c r="D47" s="48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50"/>
      <c r="B48" s="59" t="s">
        <v>192</v>
      </c>
      <c r="C48" s="35">
        <f ca="1">IFERROR(
   COUNTIF(INDIRECT("'" &amp; LOOKUP("zzz",$A$7:A48) &amp; "'!C:C"), B48),
   0
)</f>
        <v>0</v>
      </c>
      <c r="D48" s="48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50"/>
      <c r="B49" s="59" t="s">
        <v>191</v>
      </c>
      <c r="C49" s="35">
        <f ca="1">IFERROR(
   COUNTIF(INDIRECT("'" &amp; LOOKUP("zzz",$A$7:A49) &amp; "'!C:C"), B49),
   0
)</f>
        <v>0</v>
      </c>
      <c r="D49" s="48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44"/>
      <c r="B50" s="43" t="s">
        <v>150</v>
      </c>
      <c r="C50" s="44">
        <f ca="1">IFERROR(
   COUNTIF(INDIRECT("'" &amp; LOOKUP("zzz",$A$7:A50) &amp; "'!C:C"), B50),
   0
)</f>
        <v>0</v>
      </c>
      <c r="D50" s="81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7" t="s">
        <v>258</v>
      </c>
      <c r="B51" s="41" t="s">
        <v>292</v>
      </c>
      <c r="C51" s="37">
        <f ca="1">IFERROR(
   COUNTIF(INDIRECT("'" &amp; LOOKUP("zzz",$A$7:A51) &amp; "'!C:C"), B51),
   0
)</f>
        <v>0</v>
      </c>
      <c r="D51" s="80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35"/>
      <c r="B52" s="39" t="s">
        <v>293</v>
      </c>
      <c r="C52" s="35">
        <f ca="1">IFERROR(
   COUNTIF(INDIRECT("'" &amp; LOOKUP("zzz",$A$7:A52) &amp; "'!C:C"), B52),
   0
)</f>
        <v>0</v>
      </c>
      <c r="D52" s="48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35"/>
      <c r="B53" s="39" t="s">
        <v>294</v>
      </c>
      <c r="C53" s="35">
        <f ca="1">IFERROR(
   COUNTIF(INDIRECT("'" &amp; LOOKUP("zzz",$A$7:A53) &amp; "'!C:C"), B53),
   0
)</f>
        <v>0</v>
      </c>
      <c r="D53" s="48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35"/>
      <c r="B54" s="39" t="s">
        <v>295</v>
      </c>
      <c r="C54" s="35">
        <f ca="1">IFERROR(
   COUNTIF(INDIRECT("'" &amp; LOOKUP("zzz",$A$7:A54) &amp; "'!C:C"), B54),
   0
)</f>
        <v>0</v>
      </c>
      <c r="D54" s="48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35"/>
      <c r="B55" s="39" t="s">
        <v>296</v>
      </c>
      <c r="C55" s="35">
        <f ca="1">IFERROR(
   COUNTIF(INDIRECT("'" &amp; LOOKUP("zzz",$A$7:A55) &amp; "'!C:C"), B55),
   0
)</f>
        <v>0</v>
      </c>
      <c r="D55" s="48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35"/>
      <c r="B56" s="39" t="s">
        <v>297</v>
      </c>
      <c r="C56" s="35">
        <f ca="1">IFERROR(
   COUNTIF(INDIRECT("'" &amp; LOOKUP("zzz",$A$7:A56) &amp; "'!C:C"), B56),
   0
)</f>
        <v>0</v>
      </c>
      <c r="D56" s="48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35"/>
      <c r="B57" s="39" t="s">
        <v>298</v>
      </c>
      <c r="C57" s="35">
        <f ca="1">IFERROR(
   COUNTIF(INDIRECT("'" &amp; LOOKUP("zzz",$A$7:A57) &amp; "'!C:C"), B57),
   0
)</f>
        <v>0</v>
      </c>
      <c r="D57" s="48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35"/>
      <c r="B58" s="39" t="s">
        <v>299</v>
      </c>
      <c r="C58" s="35">
        <f ca="1">IFERROR(
   COUNTIF(INDIRECT("'" &amp; LOOKUP("zzz",$A$7:A58) &amp; "'!C:C"), B58),
   0
)</f>
        <v>0</v>
      </c>
      <c r="D58" s="48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35"/>
      <c r="B59" s="39" t="s">
        <v>300</v>
      </c>
      <c r="C59" s="35">
        <f ca="1">IFERROR(
   COUNTIF(INDIRECT("'" &amp; LOOKUP("zzz",$A$7:A59) &amp; "'!C:C"), B59),
   0
)</f>
        <v>0</v>
      </c>
      <c r="D59" s="48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35"/>
      <c r="B60" s="39" t="s">
        <v>301</v>
      </c>
      <c r="C60" s="35">
        <f ca="1">IFERROR(
   COUNTIF(INDIRECT("'" &amp; LOOKUP("zzz",$A$7:A60) &amp; "'!C:C"), B60),
   0
)</f>
        <v>0</v>
      </c>
      <c r="D60" s="48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35"/>
      <c r="B61" s="39" t="s">
        <v>328</v>
      </c>
      <c r="C61" s="35">
        <f ca="1">IFERROR(
   COUNTIF(INDIRECT("'" &amp; LOOKUP("zzz",$A$7:A61) &amp; "'!C:C"), B61),
   0
)</f>
        <v>0</v>
      </c>
      <c r="D61" s="48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35"/>
      <c r="B62" s="39" t="s">
        <v>302</v>
      </c>
      <c r="C62" s="35">
        <f ca="1">IFERROR(
   COUNTIF(INDIRECT("'" &amp; LOOKUP("zzz",$A$7:A62) &amp; "'!C:C"), B62),
   0
)</f>
        <v>0</v>
      </c>
      <c r="D62" s="48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35"/>
      <c r="B63" s="39" t="s">
        <v>303</v>
      </c>
      <c r="C63" s="35">
        <f ca="1">IFERROR(
   COUNTIF(INDIRECT("'" &amp; LOOKUP("zzz",$A$7:A63) &amp; "'!C:C"), B63),
   0
)</f>
        <v>0</v>
      </c>
      <c r="D63" s="48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35"/>
      <c r="B64" s="39" t="s">
        <v>304</v>
      </c>
      <c r="C64" s="35">
        <f ca="1">IFERROR(
   COUNTIF(INDIRECT("'" &amp; LOOKUP("zzz",$A$7:A64) &amp; "'!C:C"), B64),
   0
)</f>
        <v>0</v>
      </c>
      <c r="D64" s="48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35"/>
      <c r="B65" s="39" t="s">
        <v>305</v>
      </c>
      <c r="C65" s="35">
        <f ca="1">IFERROR(
   COUNTIF(INDIRECT("'" &amp; LOOKUP("zzz",$A$7:A65) &amp; "'!C:C"), B65),
   0
)</f>
        <v>0</v>
      </c>
      <c r="D65" s="48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35"/>
      <c r="B66" s="39" t="s">
        <v>306</v>
      </c>
      <c r="C66" s="35">
        <f ca="1">IFERROR(
   COUNTIF(INDIRECT("'" &amp; LOOKUP("zzz",$A$7:A66) &amp; "'!C:C"), B66),
   0
)</f>
        <v>0</v>
      </c>
      <c r="D66" s="48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35"/>
      <c r="B67" s="39" t="s">
        <v>307</v>
      </c>
      <c r="C67" s="35">
        <f ca="1">IFERROR(
   COUNTIF(INDIRECT("'" &amp; LOOKUP("zzz",$A$7:A67) &amp; "'!C:C"), B67),
   0
)</f>
        <v>0</v>
      </c>
      <c r="D67" s="48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35"/>
      <c r="B68" s="39" t="s">
        <v>308</v>
      </c>
      <c r="C68" s="35">
        <f ca="1">IFERROR(
   COUNTIF(INDIRECT("'" &amp; LOOKUP("zzz",$A$7:A68) &amp; "'!C:C"), B68),
   0
)</f>
        <v>0</v>
      </c>
      <c r="D68" s="48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60"/>
      <c r="B69" s="63" t="s">
        <v>309</v>
      </c>
      <c r="C69" s="60">
        <f ca="1">IFERROR(
   COUNTIF(INDIRECT("'" &amp; LOOKUP("zzz",$A$7:A69) &amp; "'!C:C"), B69),
   0
)</f>
        <v>0</v>
      </c>
      <c r="D69" s="48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37" t="s">
        <v>259</v>
      </c>
      <c r="B70" s="41" t="s">
        <v>311</v>
      </c>
      <c r="C70" s="37">
        <f ca="1">IFERROR(
   COUNTIF(INDIRECT("'" &amp; LOOKUP("zzz",$A$7:A70) &amp; "'!C:C"), B70),
   0
)</f>
        <v>0</v>
      </c>
      <c r="D70" s="80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35"/>
      <c r="B71" s="39" t="s">
        <v>312</v>
      </c>
      <c r="C71" s="35">
        <f ca="1">IFERROR(
   COUNTIF(INDIRECT("'" &amp; LOOKUP("zzz",$A$7:A71) &amp; "'!C:C"), B71),
   0
)</f>
        <v>0</v>
      </c>
      <c r="D71" s="48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35"/>
      <c r="B72" s="39" t="s">
        <v>291</v>
      </c>
      <c r="C72" s="35">
        <f ca="1">IFERROR(
   COUNTIF(INDIRECT("'" &amp; LOOKUP("zzz",$A$7:A72) &amp; "'!C:C"), B72),
   0
)</f>
        <v>0</v>
      </c>
      <c r="D72" s="48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35"/>
      <c r="B73" s="39" t="s">
        <v>268</v>
      </c>
      <c r="C73" s="35">
        <f ca="1">IFERROR(
   COUNTIF(INDIRECT("'" &amp; LOOKUP("zzz",$A$7:A73) &amp; "'!C:C"), B73),
   0
)</f>
        <v>0</v>
      </c>
      <c r="D73" s="48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35"/>
      <c r="B74" s="39" t="s">
        <v>313</v>
      </c>
      <c r="C74" s="35">
        <f ca="1">IFERROR(
   COUNTIF(INDIRECT("'" &amp; LOOKUP("zzz",$A$7:A74) &amp; "'!C:C"), B74),
   0
)</f>
        <v>0</v>
      </c>
      <c r="D74" s="48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44"/>
      <c r="B75" s="43" t="s">
        <v>314</v>
      </c>
      <c r="C75" s="44">
        <f ca="1">IFERROR(
   COUNTIF(INDIRECT("'" &amp; LOOKUP("zzz",$A$7:A75) &amp; "'!C:C"), B75),
   0
)</f>
        <v>0</v>
      </c>
      <c r="D75" s="81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37" t="s">
        <v>36</v>
      </c>
      <c r="B76" s="41" t="s">
        <v>57</v>
      </c>
      <c r="C76" s="37">
        <f ca="1">IFERROR(
   COUNTIF(INDIRECT("'" &amp; LOOKUP("zzz",$A$7:A76) &amp; "'!C:C"), B76),
   0
)</f>
        <v>0</v>
      </c>
      <c r="D76" s="80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35"/>
      <c r="B77" s="39" t="s">
        <v>18</v>
      </c>
      <c r="C77" s="35">
        <f ca="1">IFERROR(
   COUNTIF(INDIRECT("'" &amp; LOOKUP("zzz",$A$7:A77) &amp; "'!C:C"), B77),
   0
)</f>
        <v>0</v>
      </c>
      <c r="D77" s="48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35"/>
      <c r="B78" s="77" t="s">
        <v>276</v>
      </c>
      <c r="C78" s="35">
        <f ca="1">IFERROR(
   COUNTIF(INDIRECT("'" &amp; LOOKUP("zzz",$A$7:A78) &amp; "'!C:C"), B78),
   0
)</f>
        <v>0</v>
      </c>
      <c r="D78" s="48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35"/>
      <c r="B79" s="39" t="s">
        <v>179</v>
      </c>
      <c r="C79" s="35">
        <f ca="1">IFERROR(
   COUNTIF(INDIRECT("'" &amp; LOOKUP("zzz",$A$7:A79) &amp; "'!C:C"), B79),
   0
)</f>
        <v>0</v>
      </c>
      <c r="D79" s="48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35"/>
      <c r="B80" s="39" t="s">
        <v>201</v>
      </c>
      <c r="C80" s="35">
        <f ca="1">IFERROR(
   COUNTIF(INDIRECT("'" &amp; LOOKUP("zzz",$A$7:A80) &amp; "'!C:C"), B80),
   0
)</f>
        <v>0</v>
      </c>
      <c r="D80" s="48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35"/>
      <c r="B81" s="39" t="s">
        <v>96</v>
      </c>
      <c r="C81" s="35">
        <f ca="1">IFERROR(
   COUNTIF(INDIRECT("'" &amp; LOOKUP("zzz",$A$7:A81) &amp; "'!C:C"), B81),
   0
)</f>
        <v>0</v>
      </c>
      <c r="D81" s="48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44"/>
      <c r="B82" s="43" t="s">
        <v>10</v>
      </c>
      <c r="C82" s="44">
        <f ca="1">IFERROR(
   COUNTIF(INDIRECT("'" &amp; LOOKUP("zzz",$A$7:A82) &amp; "'!C:C"), B82),
   0
)</f>
        <v>0</v>
      </c>
      <c r="D82" s="81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46" t="s">
        <v>207</v>
      </c>
      <c r="B83" s="41" t="s">
        <v>252</v>
      </c>
      <c r="C83" s="37">
        <f ca="1">IFERROR(
   COUNTIF(INDIRECT("'" &amp; LOOKUP("zzz",$A$7:A83) &amp; "'!C:C"), B83),
   0
)</f>
        <v>0</v>
      </c>
      <c r="D83" s="80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35"/>
      <c r="B84" s="39" t="s">
        <v>251</v>
      </c>
      <c r="C84" s="35">
        <f ca="1">IFERROR(
   COUNTIF(INDIRECT("'" &amp; LOOKUP("zzz",$A$7:A84) &amp; "'!C:C"), B84),
   0
)</f>
        <v>0</v>
      </c>
      <c r="D84" s="48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35"/>
      <c r="B85" s="39" t="s">
        <v>250</v>
      </c>
      <c r="C85" s="35">
        <f ca="1">IFERROR(
   COUNTIF(INDIRECT("'" &amp; LOOKUP("zzz",$A$7:A85) &amp; "'!C:C"), B85),
   0
)</f>
        <v>0</v>
      </c>
      <c r="D85" s="48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60"/>
      <c r="B86" s="63" t="s">
        <v>112</v>
      </c>
      <c r="C86" s="60">
        <f ca="1">IFERROR(
   COUNTIF(INDIRECT("'" &amp; LOOKUP("zzz",$A$7:A86) &amp; "'!C:C"), B86),
   0
)</f>
        <v>0</v>
      </c>
      <c r="D86" s="81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54" t="s">
        <v>206</v>
      </c>
      <c r="B87" s="55" t="s">
        <v>255</v>
      </c>
      <c r="C87" s="54">
        <f ca="1">IFERROR(
   COUNTIF(INDIRECT("'" &amp; LOOKUP("zzz",$A$7:A87) &amp; "'!C:C"), B87),
   0
)</f>
        <v>0</v>
      </c>
      <c r="D87" s="80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35"/>
      <c r="B88" s="39" t="s">
        <v>254</v>
      </c>
      <c r="C88" s="35">
        <f ca="1">IFERROR(
   COUNTIF(INDIRECT("'" &amp; LOOKUP("zzz",$A$7:A88) &amp; "'!C:C"), B88),
   0
)</f>
        <v>0</v>
      </c>
      <c r="D88" s="48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35"/>
      <c r="B89" s="39" t="s">
        <v>52</v>
      </c>
      <c r="C89" s="35">
        <f ca="1">IFERROR(
   COUNTIF(INDIRECT("'" &amp; LOOKUP("zzz",$A$7:A89) &amp; "'!C:C"), B89),
   0
)</f>
        <v>0</v>
      </c>
      <c r="D89" s="48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customFormat="1" ht="50" customHeight="1" x14ac:dyDescent="0.2">
      <c r="A90" s="60"/>
      <c r="B90" s="63" t="s">
        <v>253</v>
      </c>
      <c r="C90" s="60">
        <f ca="1">IFERROR(
   COUNTIF(INDIRECT("'" &amp; LOOKUP("zzz",$A$7:A90) &amp; "'!C:C"), B90),
   0
)</f>
        <v>0</v>
      </c>
      <c r="D90" s="81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46" t="s">
        <v>205</v>
      </c>
      <c r="B91" s="41" t="s">
        <v>73</v>
      </c>
      <c r="C91" s="37">
        <f ca="1">IFERROR(
   COUNTIF(INDIRECT("'" &amp; LOOKUP("zzz",$A$7:A91) &amp; "'!C:C"), B91),
   0
)</f>
        <v>0</v>
      </c>
      <c r="D91" s="80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35"/>
      <c r="B92" s="39" t="s">
        <v>235</v>
      </c>
      <c r="C92" s="35">
        <f ca="1">IFERROR(
   COUNTIF(INDIRECT("'" &amp; LOOKUP("zzz",$A$7:A92) &amp; "'!C:C"), B92),
   0
)</f>
        <v>0</v>
      </c>
      <c r="D92" s="48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35"/>
      <c r="B93" s="39" t="s">
        <v>234</v>
      </c>
      <c r="C93" s="35">
        <f ca="1">IFERROR(
   COUNTIF(INDIRECT("'" &amp; LOOKUP("zzz",$A$7:A93) &amp; "'!C:C"), B93),
   0
)</f>
        <v>0</v>
      </c>
      <c r="D93" s="48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60"/>
      <c r="B94" s="63" t="s">
        <v>233</v>
      </c>
      <c r="C94" s="60">
        <f ca="1">IFERROR(
   COUNTIF(INDIRECT("'" &amp; LOOKUP("zzz",$A$7:A94) &amp; "'!C:C"), B94),
   0
)</f>
        <v>0</v>
      </c>
      <c r="D94" s="81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46" t="s">
        <v>204</v>
      </c>
      <c r="B95" s="41" t="s">
        <v>249</v>
      </c>
      <c r="C95" s="37">
        <f ca="1">IFERROR(
   COUNTIF(INDIRECT("'" &amp; LOOKUP("zzz",$A$7:A95) &amp; "'!C:C"), B95),
   0
)</f>
        <v>0</v>
      </c>
      <c r="D95" s="80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35"/>
      <c r="B96" s="39" t="s">
        <v>248</v>
      </c>
      <c r="C96" s="35">
        <f ca="1">IFERROR(
   COUNTIF(INDIRECT("'" &amp; LOOKUP("zzz",$A$7:A96) &amp; "'!C:C"), B96),
   0
)</f>
        <v>0</v>
      </c>
      <c r="D96" s="48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35"/>
      <c r="B97" s="39" t="s">
        <v>247</v>
      </c>
      <c r="C97" s="35">
        <f ca="1">IFERROR(
   COUNTIF(INDIRECT("'" &amp; LOOKUP("zzz",$A$7:A97) &amp; "'!C:C"), B97),
   0
)</f>
        <v>0</v>
      </c>
      <c r="D97" s="48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customFormat="1" ht="50" customHeight="1" x14ac:dyDescent="0.2">
      <c r="A98" s="35"/>
      <c r="B98" s="39" t="s">
        <v>246</v>
      </c>
      <c r="C98" s="35">
        <f ca="1">IFERROR(
   COUNTIF(INDIRECT("'" &amp; LOOKUP("zzz",$A$7:A98) &amp; "'!C:C"), B98),
   0
)</f>
        <v>0</v>
      </c>
      <c r="D98" s="48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60"/>
      <c r="B99" s="63" t="s">
        <v>245</v>
      </c>
      <c r="C99" s="60">
        <f ca="1">IFERROR(
   COUNTIF(INDIRECT("'" &amp; LOOKUP("zzz",$A$7:A99) &amp; "'!C:C"), B99),
   0
)</f>
        <v>0</v>
      </c>
      <c r="D99" s="81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37" t="s">
        <v>203</v>
      </c>
      <c r="B100" s="41" t="s">
        <v>244</v>
      </c>
      <c r="C100" s="37">
        <f ca="1">IFERROR(
   COUNTIF(INDIRECT("'" &amp; LOOKUP("zzz",$A$7:A100) &amp; "'!C:C"), B100),
   0
)</f>
        <v>0</v>
      </c>
      <c r="D100" s="80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50" customHeight="1" x14ac:dyDescent="0.2">
      <c r="A101" s="35"/>
      <c r="B101" s="39" t="s">
        <v>243</v>
      </c>
      <c r="C101" s="35">
        <f ca="1">IFERROR(
   COUNTIF(INDIRECT("'" &amp; LOOKUP("zzz",$A$7:A101) &amp; "'!C:C"), B101),
   0
)</f>
        <v>0</v>
      </c>
      <c r="D101" s="48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35"/>
      <c r="B102" s="14" t="s">
        <v>310</v>
      </c>
      <c r="C102" s="35">
        <f ca="1">IFERROR(
   COUNTIF(INDIRECT("'" &amp; LOOKUP("zzz",$A$7:A102) &amp; "'!C:C"), B102),
   0
)</f>
        <v>0</v>
      </c>
      <c r="D102" s="48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35"/>
      <c r="B103" s="39" t="s">
        <v>242</v>
      </c>
      <c r="C103" s="35">
        <f ca="1">IFERROR(
   COUNTIF(INDIRECT("'" &amp; LOOKUP("zzz",$A$7:A103) &amp; "'!C:C"), B103),
   0
)</f>
        <v>0</v>
      </c>
      <c r="D103" s="48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35"/>
      <c r="B104" s="39" t="s">
        <v>241</v>
      </c>
      <c r="C104" s="35">
        <f ca="1">IFERROR(
   COUNTIF(INDIRECT("'" &amp; LOOKUP("zzz",$A$7:A104) &amp; "'!C:C"), B104),
   0
)</f>
        <v>0</v>
      </c>
      <c r="D104" s="48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35"/>
      <c r="B105" s="39" t="s">
        <v>240</v>
      </c>
      <c r="C105" s="35">
        <f ca="1">IFERROR(
   COUNTIF(INDIRECT("'" &amp; LOOKUP("zzz",$A$7:A105) &amp; "'!C:C"), B105),
   0
)</f>
        <v>0</v>
      </c>
      <c r="D105" s="48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35"/>
      <c r="B106" s="39" t="s">
        <v>239</v>
      </c>
      <c r="C106" s="35">
        <f ca="1">IFERROR(
   COUNTIF(INDIRECT("'" &amp; LOOKUP("zzz",$A$7:A106) &amp; "'!C:C"), B106),
   0
)</f>
        <v>0</v>
      </c>
      <c r="D106" s="48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35"/>
      <c r="B107" s="39" t="s">
        <v>238</v>
      </c>
      <c r="C107" s="35">
        <f ca="1">IFERROR(
   COUNTIF(INDIRECT("'" &amp; LOOKUP("zzz",$A$7:A107) &amp; "'!C:C"), B107),
   0
)</f>
        <v>0</v>
      </c>
      <c r="D107" s="48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35"/>
      <c r="B108" s="39" t="s">
        <v>237</v>
      </c>
      <c r="C108" s="35">
        <f ca="1">IFERROR(
   COUNTIF(INDIRECT("'" &amp; LOOKUP("zzz",$A$7:A108) &amp; "'!C:C"), B108),
   0
)</f>
        <v>0</v>
      </c>
      <c r="D108" s="48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60"/>
      <c r="B109" s="63" t="s">
        <v>236</v>
      </c>
      <c r="C109" s="60">
        <f ca="1">IFERROR(
   COUNTIF(INDIRECT("'" &amp; LOOKUP("zzz",$A$7:A109) &amp; "'!C:C"), B109),
   0
)</f>
        <v>0</v>
      </c>
      <c r="D109" s="48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7" t="s">
        <v>31</v>
      </c>
      <c r="B110" s="42" t="s">
        <v>52</v>
      </c>
      <c r="C110" s="37">
        <f ca="1">IFERROR(
   COUNTIF(INDIRECT("'" &amp; LOOKUP("zzz",$A$7:A110) &amp; "'!C:C"), B110),
   0
)</f>
        <v>0</v>
      </c>
      <c r="D110" s="80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7"/>
      <c r="B111" s="42" t="s">
        <v>318</v>
      </c>
      <c r="C111" s="37">
        <f ca="1">IFERROR(
   COUNTIF(INDIRECT("'" &amp; LOOKUP("zzz",$A$7:A111) &amp; "'!C:C"), B111),
   0
)</f>
        <v>0</v>
      </c>
      <c r="D111" s="49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36"/>
      <c r="B112" s="40" t="s">
        <v>72</v>
      </c>
      <c r="C112" s="35">
        <f ca="1">IFERROR(
   COUNTIF(INDIRECT("'" &amp; LOOKUP("zzz",$A$7:A112) &amp; "'!C:C"), B112),
   0
)</f>
        <v>0</v>
      </c>
      <c r="D112" s="48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36"/>
      <c r="B113" s="40" t="s">
        <v>91</v>
      </c>
      <c r="C113" s="35">
        <f ca="1">IFERROR(
   COUNTIF(INDIRECT("'" &amp; LOOKUP("zzz",$A$7:A113) &amp; "'!C:C"), B113),
   0
)</f>
        <v>0</v>
      </c>
      <c r="D113" s="48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36"/>
      <c r="B114" s="40" t="s">
        <v>110</v>
      </c>
      <c r="C114" s="35">
        <f ca="1">IFERROR(
   COUNTIF(INDIRECT("'" &amp; LOOKUP("zzz",$A$7:A114) &amp; "'!C:C"), B114),
   0
)</f>
        <v>0</v>
      </c>
      <c r="D114" s="48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36"/>
      <c r="B115" s="40" t="s">
        <v>173</v>
      </c>
      <c r="C115" s="35">
        <f ca="1">IFERROR(
   COUNTIF(INDIRECT("'" &amp; LOOKUP("zzz",$A$7:A115) &amp; "'!C:C"), B115),
   0
)</f>
        <v>0</v>
      </c>
      <c r="D115" s="48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36"/>
      <c r="B116" s="40" t="s">
        <v>330</v>
      </c>
      <c r="C116" s="35">
        <f ca="1">IFERROR(
   COUNTIF(INDIRECT("'" &amp; LOOKUP("zzz",$A$7:A116) &amp; "'!C:C"), B116),
   0
)</f>
        <v>0</v>
      </c>
      <c r="D116" s="48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6"/>
      <c r="B117" s="40" t="s">
        <v>329</v>
      </c>
      <c r="C117" s="35">
        <f ca="1">IFERROR(
   COUNTIF(INDIRECT("'" &amp; LOOKUP("zzz",$A$7:A117) &amp; "'!C:C"), B117),
   0
)</f>
        <v>0</v>
      </c>
      <c r="D117" s="48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36"/>
      <c r="B118" s="40" t="s">
        <v>124</v>
      </c>
      <c r="C118" s="35">
        <f ca="1">IFERROR(
   COUNTIF(INDIRECT("'" &amp; LOOKUP("zzz",$A$7:A118) &amp; "'!C:C"), B118),
   0
)</f>
        <v>0</v>
      </c>
      <c r="D118" s="48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47"/>
      <c r="B119" s="45" t="s">
        <v>134</v>
      </c>
      <c r="C119" s="44">
        <f ca="1">IFERROR(
   COUNTIF(INDIRECT("'" &amp; LOOKUP("zzz",$A$7:A119) &amp; "'!C:C"), B119),
   0
)</f>
        <v>0</v>
      </c>
      <c r="D119" s="81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46" t="s">
        <v>32</v>
      </c>
      <c r="B120" s="42" t="s">
        <v>53</v>
      </c>
      <c r="C120" s="37">
        <f ca="1">IFERROR(
   COUNTIF(INDIRECT("'" &amp; LOOKUP("zzz",$A$7:A120) &amp; "'!C:C"), B120),
   0
)</f>
        <v>0</v>
      </c>
      <c r="D120" s="80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36"/>
      <c r="B121" s="40" t="s">
        <v>315</v>
      </c>
      <c r="C121" s="35">
        <f ca="1">IFERROR(
   COUNTIF(INDIRECT("'" &amp; LOOKUP("zzz",$A$7:A121) &amp; "'!C:C"), B121),
   0
)</f>
        <v>0</v>
      </c>
      <c r="D121" s="48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36"/>
      <c r="B122" s="40" t="s">
        <v>316</v>
      </c>
      <c r="C122" s="35">
        <f ca="1">IFERROR(
   COUNTIF(INDIRECT("'" &amp; LOOKUP("zzz",$A$7:A122) &amp; "'!C:C"), B122),
   0
)</f>
        <v>0</v>
      </c>
      <c r="D122" s="48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36"/>
      <c r="B123" s="40" t="s">
        <v>199</v>
      </c>
      <c r="C123" s="35">
        <f ca="1">IFERROR(
   COUNTIF(INDIRECT("'" &amp; LOOKUP("zzz",$A$7:A123) &amp; "'!C:C"), B123),
   0
)</f>
        <v>0</v>
      </c>
      <c r="D123" s="48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36"/>
      <c r="B124" s="40" t="s">
        <v>200</v>
      </c>
      <c r="C124" s="35">
        <f ca="1">IFERROR(
   COUNTIF(INDIRECT("'" &amp; LOOKUP("zzz",$A$7:A124) &amp; "'!C:C"), B124),
   0
)</f>
        <v>0</v>
      </c>
      <c r="D124" s="48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36"/>
      <c r="B125" s="77" t="s">
        <v>352</v>
      </c>
      <c r="C125" s="35">
        <f ca="1">IFERROR(
   COUNTIF(INDIRECT("'" &amp; LOOKUP("zzz",$A$7:A125) &amp; "'!C:C"), B125),
   0
)</f>
        <v>0</v>
      </c>
      <c r="D125" s="48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36"/>
      <c r="B126" s="40" t="s">
        <v>73</v>
      </c>
      <c r="C126" s="35">
        <f ca="1">IFERROR(
   COUNTIF(INDIRECT("'" &amp; LOOKUP("zzz",$A$7:A126) &amp; "'!C:C"), B126),
   0
)</f>
        <v>0</v>
      </c>
      <c r="D126" s="48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36"/>
      <c r="B127" s="40" t="s">
        <v>92</v>
      </c>
      <c r="C127" s="35">
        <f ca="1">IFERROR(
   COUNTIF(INDIRECT("'" &amp; LOOKUP("zzz",$A$7:A127) &amp; "'!C:C"), B127),
   0
)</f>
        <v>0</v>
      </c>
      <c r="D127" s="48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47"/>
      <c r="B128" s="43" t="s">
        <v>125</v>
      </c>
      <c r="C128" s="44">
        <f ca="1">IFERROR(
   COUNTIF(INDIRECT("'" &amp; LOOKUP("zzz",$A$7:A128) &amp; "'!C:C"), B128),
   0
)</f>
        <v>0</v>
      </c>
      <c r="D128" s="81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52" t="s">
        <v>186</v>
      </c>
      <c r="B129" s="53" t="s">
        <v>187</v>
      </c>
      <c r="C129" s="57">
        <f ca="1">IFERROR(
   COUNTIF(INDIRECT("'" &amp; LOOKUP("zzz",$A$7:A129) &amp; "'!C:C"), B129),
   0
)</f>
        <v>0</v>
      </c>
      <c r="D129" s="80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36"/>
      <c r="B130" s="40" t="s">
        <v>188</v>
      </c>
      <c r="C130" s="35">
        <f ca="1">IFERROR(
   COUNTIF(INDIRECT("'" &amp; LOOKUP("zzz",$A$7:A130) &amp; "'!C:C"), B130),
   0
)</f>
        <v>0</v>
      </c>
      <c r="D130" s="48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36"/>
      <c r="B131" s="40" t="s">
        <v>331</v>
      </c>
      <c r="C131" s="35">
        <f ca="1">IFERROR(
   COUNTIF(INDIRECT("'" &amp; LOOKUP("zzz",$A$7:A131) &amp; "'!C:C"), B131),
   0
)</f>
        <v>0</v>
      </c>
      <c r="D131" s="48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36"/>
      <c r="B132" s="40" t="s">
        <v>174</v>
      </c>
      <c r="C132" s="35">
        <f ca="1">IFERROR(
   COUNTIF(INDIRECT("'" &amp; LOOKUP("zzz",$A$7:A132) &amp; "'!C:C"), B132),
   0
)</f>
        <v>0</v>
      </c>
      <c r="D132" s="48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36"/>
      <c r="B133" s="40" t="s">
        <v>332</v>
      </c>
      <c r="C133" s="35">
        <f ca="1">IFERROR(
   COUNTIF(INDIRECT("'" &amp; LOOKUP("zzz",$A$7:A133) &amp; "'!C:C"), B133),
   0
)</f>
        <v>0</v>
      </c>
      <c r="D133" s="48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35"/>
      <c r="B134" s="39" t="s">
        <v>93</v>
      </c>
      <c r="C134" s="35">
        <f ca="1">IFERROR(
   COUNTIF(INDIRECT("'" &amp; LOOKUP("zzz",$A$7:A134) &amp; "'!C:C"), B134),
   0
)</f>
        <v>0</v>
      </c>
      <c r="D134" s="48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36"/>
      <c r="B135" s="40" t="s">
        <v>333</v>
      </c>
      <c r="C135" s="35">
        <f ca="1">IFERROR(
   COUNTIF(INDIRECT("'" &amp; LOOKUP("zzz",$A$7:A135) &amp; "'!C:C"), B135),
   0
)</f>
        <v>0</v>
      </c>
      <c r="D135" s="48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52"/>
      <c r="B136" s="56" t="s">
        <v>334</v>
      </c>
      <c r="C136" s="58">
        <f ca="1">IFERROR(
   COUNTIF(INDIRECT("'" &amp; LOOKUP("zzz",$A$7:A136) &amp; "'!C:C"), B136),
   0
)</f>
        <v>0</v>
      </c>
      <c r="D136" s="81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68" t="s">
        <v>33</v>
      </c>
      <c r="B137" s="55" t="s">
        <v>54</v>
      </c>
      <c r="C137" s="54">
        <f ca="1">IFERROR(
   COUNTIF(INDIRECT("'" &amp; LOOKUP("zzz",$A$7:A137) &amp; "'!C:C"), B137),
   0
)</f>
        <v>0</v>
      </c>
      <c r="D137" s="80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36"/>
      <c r="B138" s="40" t="s">
        <v>74</v>
      </c>
      <c r="C138" s="35">
        <f ca="1">IFERROR(
   COUNTIF(INDIRECT("'" &amp; LOOKUP("zzz",$A$7:A138) &amp; "'!C:C"), B138),
   0
)</f>
        <v>0</v>
      </c>
      <c r="D138" s="48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36"/>
      <c r="B139" s="40" t="s">
        <v>202</v>
      </c>
      <c r="C139" s="35">
        <f ca="1">IFERROR(
   COUNTIF(INDIRECT("'" &amp; LOOKUP("zzz",$A$7:A139) &amp; "'!C:C"), B139),
   0
)</f>
        <v>0</v>
      </c>
      <c r="D139" s="48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36"/>
      <c r="B140" s="40" t="s">
        <v>264</v>
      </c>
      <c r="C140" s="35">
        <f ca="1">IFERROR(
   COUNTIF(INDIRECT("'" &amp; LOOKUP("zzz",$A$7:A140) &amp; "'!C:C"), B140),
   0
)</f>
        <v>0</v>
      </c>
      <c r="D140" s="48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35"/>
      <c r="B141" s="40" t="s">
        <v>112</v>
      </c>
      <c r="C141" s="35">
        <f ca="1">IFERROR(
   COUNTIF(INDIRECT("'" &amp; LOOKUP("zzz",$A$7:A141) &amp; "'!C:C"), B141),
   0
)</f>
        <v>0</v>
      </c>
      <c r="D141" s="48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47"/>
      <c r="B142" s="45" t="s">
        <v>126</v>
      </c>
      <c r="C142" s="44">
        <f ca="1">IFERROR(
   COUNTIF(INDIRECT("'" &amp; LOOKUP("zzz",$A$7:A142) &amp; "'!C:C"), B142),
   0
)</f>
        <v>0</v>
      </c>
      <c r="D142" s="81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37" t="s">
        <v>34</v>
      </c>
      <c r="B143" s="42" t="s">
        <v>55</v>
      </c>
      <c r="C143" s="37">
        <f ca="1">IFERROR(
   COUNTIF(INDIRECT("'" &amp; LOOKUP("zzz",$A$7:A143) &amp; "'!C:C"), B143),
   0
)</f>
        <v>0</v>
      </c>
      <c r="D143" s="80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36"/>
      <c r="B144" s="40" t="s">
        <v>75</v>
      </c>
      <c r="C144" s="35">
        <f ca="1">IFERROR(
   COUNTIF(INDIRECT("'" &amp; LOOKUP("zzz",$A$7:A144) &amp; "'!C:C"), B144),
   0
)</f>
        <v>0</v>
      </c>
      <c r="D144" s="48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36"/>
      <c r="B145" s="40" t="s">
        <v>94</v>
      </c>
      <c r="C145" s="35">
        <f ca="1">IFERROR(
   COUNTIF(INDIRECT("'" &amp; LOOKUP("zzz",$A$7:A145) &amp; "'!C:C"), B145),
   0
)</f>
        <v>0</v>
      </c>
      <c r="D145" s="48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36"/>
      <c r="B146" s="40" t="s">
        <v>113</v>
      </c>
      <c r="C146" s="35">
        <f ca="1">IFERROR(
   COUNTIF(INDIRECT("'" &amp; LOOKUP("zzz",$A$7:A146) &amp; "'!C:C"), B146),
   0
)</f>
        <v>0</v>
      </c>
      <c r="D146" s="48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36"/>
      <c r="B147" s="40" t="s">
        <v>127</v>
      </c>
      <c r="C147" s="35">
        <f ca="1">IFERROR(
   COUNTIF(INDIRECT("'" &amp; LOOKUP("zzz",$A$7:A147) &amp; "'!C:C"), B147),
   0
)</f>
        <v>0</v>
      </c>
      <c r="D147" s="48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47"/>
      <c r="B148" s="45" t="s">
        <v>135</v>
      </c>
      <c r="C148" s="44">
        <f ca="1">IFERROR(
   COUNTIF(INDIRECT("'" &amp; LOOKUP("zzz",$A$7:A148) &amp; "'!C:C"), B148),
   0
)</f>
        <v>0</v>
      </c>
      <c r="D148" s="81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46" t="s">
        <v>35</v>
      </c>
      <c r="B149" s="42" t="s">
        <v>56</v>
      </c>
      <c r="C149" s="37">
        <f ca="1">IFERROR(
   COUNTIF(INDIRECT("'" &amp; LOOKUP("zzz",$A$7:A149) &amp; "'!C:C"), B149),
   0
)</f>
        <v>0</v>
      </c>
      <c r="D149" s="80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36"/>
      <c r="B150" s="40" t="s">
        <v>76</v>
      </c>
      <c r="C150" s="35">
        <f ca="1">IFERROR(
   COUNTIF(INDIRECT("'" &amp; LOOKUP("zzz",$A$7:A150) &amp; "'!C:C"), B150),
   0
)</f>
        <v>0</v>
      </c>
      <c r="D150" s="48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36"/>
      <c r="B151" s="40" t="s">
        <v>95</v>
      </c>
      <c r="C151" s="35">
        <f ca="1">IFERROR(
   COUNTIF(INDIRECT("'" &amp; LOOKUP("zzz",$A$7:A151) &amp; "'!C:C"), B151),
   0
)</f>
        <v>0</v>
      </c>
      <c r="D151" s="48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35"/>
      <c r="B152" s="39" t="s">
        <v>114</v>
      </c>
      <c r="C152" s="35">
        <f ca="1">IFERROR(
   COUNTIF(INDIRECT("'" &amp; LOOKUP("zzz",$A$7:A152) &amp; "'!C:C"), B152),
   0
)</f>
        <v>0</v>
      </c>
      <c r="D152" s="48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35"/>
      <c r="B153" s="39" t="s">
        <v>128</v>
      </c>
      <c r="C153" s="35">
        <f ca="1">IFERROR(
   COUNTIF(INDIRECT("'" &amp; LOOKUP("zzz",$A$7:A153) &amp; "'!C:C"), B153),
   0
)</f>
        <v>0</v>
      </c>
      <c r="D153" s="48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44"/>
      <c r="B154" s="43" t="s">
        <v>136</v>
      </c>
      <c r="C154" s="44">
        <f ca="1">IFERROR(
   COUNTIF(INDIRECT("'" &amp; LOOKUP("zzz",$A$7:A154) &amp; "'!C:C"), B154),
   0
)</f>
        <v>0</v>
      </c>
      <c r="D154" s="81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37" t="s">
        <v>37</v>
      </c>
      <c r="B155" s="41" t="s">
        <v>58</v>
      </c>
      <c r="C155" s="37">
        <f ca="1">IFERROR(
   COUNTIF(INDIRECT("'" &amp; LOOKUP("zzz",$A$7:A155) &amp; "'!C:C"), B155),
   0
)</f>
        <v>0</v>
      </c>
      <c r="D155" s="80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35"/>
      <c r="B156" s="39" t="s">
        <v>77</v>
      </c>
      <c r="C156" s="35">
        <f ca="1">IFERROR(
   COUNTIF(INDIRECT("'" &amp; LOOKUP("zzz",$A$7:A156) &amp; "'!C:C"), B156),
   0
)</f>
        <v>0</v>
      </c>
      <c r="D156" s="48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35"/>
      <c r="B157" s="39" t="s">
        <v>97</v>
      </c>
      <c r="C157" s="35">
        <f ca="1">IFERROR(
   COUNTIF(INDIRECT("'" &amp; LOOKUP("zzz",$A$7:A157) &amp; "'!C:C"), B157),
   0
)</f>
        <v>0</v>
      </c>
      <c r="D157" s="48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35"/>
      <c r="B158" s="39" t="s">
        <v>115</v>
      </c>
      <c r="C158" s="35">
        <f ca="1">IFERROR(
   COUNTIF(INDIRECT("'" &amp; LOOKUP("zzz",$A$7:A158) &amp; "'!C:C"), B158),
   0
)</f>
        <v>0</v>
      </c>
      <c r="D158" s="48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50"/>
      <c r="B159" s="39" t="s">
        <v>111</v>
      </c>
      <c r="C159" s="35">
        <f ca="1">IFERROR(
   COUNTIF(INDIRECT("'" &amp; LOOKUP("zzz",$A$7:A159) &amp; "'!C:C"), B159),
   0
)</f>
        <v>0</v>
      </c>
      <c r="D159" s="48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44"/>
      <c r="B160" s="43" t="s">
        <v>129</v>
      </c>
      <c r="C160" s="44">
        <f ca="1">IFERROR(
   COUNTIF(INDIRECT("'" &amp; LOOKUP("zzz",$A$7:A160) &amp; "'!C:C"), B160),
   0
)</f>
        <v>0</v>
      </c>
      <c r="D160" s="81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7" t="s">
        <v>38</v>
      </c>
      <c r="B161" s="41" t="s">
        <v>59</v>
      </c>
      <c r="C161" s="37">
        <f ca="1">IFERROR(
   COUNTIF(INDIRECT("'" &amp; LOOKUP("zzz",$A$7:A161) &amp; "'!C:C"), B161),
   0
)</f>
        <v>0</v>
      </c>
      <c r="D161" s="80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35"/>
      <c r="B162" s="39" t="s">
        <v>78</v>
      </c>
      <c r="C162" s="35">
        <f ca="1">IFERROR(
   COUNTIF(INDIRECT("'" &amp; LOOKUP("zzz",$A$7:A162) &amp; "'!C:C"), B162),
   0
)</f>
        <v>0</v>
      </c>
      <c r="D162" s="48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44"/>
      <c r="B163" s="43" t="s">
        <v>98</v>
      </c>
      <c r="C163" s="44">
        <f ca="1">IFERROR(
   COUNTIF(INDIRECT("'" &amp; LOOKUP("zzz",$A$7:A163) &amp; "'!C:C"), B163),
   0
)</f>
        <v>0</v>
      </c>
      <c r="D163" s="81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7" t="s">
        <v>39</v>
      </c>
      <c r="B164" s="41" t="s">
        <v>15</v>
      </c>
      <c r="C164" s="37">
        <f ca="1">IFERROR(
   COUNTIF(INDIRECT("'" &amp; LOOKUP("zzz",$A$7:A164) &amp; "'!C:C"), B164),
   0
)</f>
        <v>0</v>
      </c>
      <c r="D164" s="80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35"/>
      <c r="B165" s="39" t="s">
        <v>13</v>
      </c>
      <c r="C165" s="35">
        <f ca="1">IFERROR(
   COUNTIF(INDIRECT("'" &amp; LOOKUP("zzz",$A$7:A165) &amp; "'!C:C"), B165),
   0
)</f>
        <v>0</v>
      </c>
      <c r="D165" s="48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35"/>
      <c r="B166" s="39" t="s">
        <v>99</v>
      </c>
      <c r="C166" s="35">
        <f ca="1">IFERROR(
   COUNTIF(INDIRECT("'" &amp; LOOKUP("zzz",$A$7:A166) &amp; "'!C:C"), B166),
   0
)</f>
        <v>0</v>
      </c>
      <c r="D166" s="48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35"/>
      <c r="B167" s="39" t="s">
        <v>116</v>
      </c>
      <c r="C167" s="35">
        <f ca="1">IFERROR(
   COUNTIF(INDIRECT("'" &amp; LOOKUP("zzz",$A$7:A167) &amp; "'!C:C"), B167),
   0
)</f>
        <v>0</v>
      </c>
      <c r="D167" s="48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35"/>
      <c r="B168" s="39" t="s">
        <v>14</v>
      </c>
      <c r="C168" s="35">
        <f ca="1">IFERROR(
   COUNTIF(INDIRECT("'" &amp; LOOKUP("zzz",$A$7:A168) &amp; "'!C:C"), B168),
   0
)</f>
        <v>0</v>
      </c>
      <c r="D168" s="48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35"/>
      <c r="B169" s="39" t="s">
        <v>137</v>
      </c>
      <c r="C169" s="35">
        <f ca="1">IFERROR(
   COUNTIF(INDIRECT("'" &amp; LOOKUP("zzz",$A$7:A169) &amp; "'!C:C"), B169),
   0
)</f>
        <v>0</v>
      </c>
      <c r="D169" s="48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35"/>
      <c r="B170" s="39" t="s">
        <v>11</v>
      </c>
      <c r="C170" s="35">
        <f ca="1">IFERROR(
   COUNTIF(INDIRECT("'" &amp; LOOKUP("zzz",$A$7:A170) &amp; "'!C:C"), B170),
   0
)</f>
        <v>0</v>
      </c>
      <c r="D170" s="48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44"/>
      <c r="B171" s="43" t="s">
        <v>141</v>
      </c>
      <c r="C171" s="44">
        <f ca="1">IFERROR(
   COUNTIF(INDIRECT("'" &amp; LOOKUP("zzz",$A$7:A171) &amp; "'!C:C"), B171),
   0
)</f>
        <v>0</v>
      </c>
      <c r="D171" s="81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46" t="s">
        <v>22</v>
      </c>
      <c r="B172" s="42" t="s">
        <v>42</v>
      </c>
      <c r="C172" s="37">
        <f ca="1">IFERROR(
   COUNTIF(INDIRECT("'" &amp; LOOKUP("zzz",$A$7:A172) &amp; "'!C:C"), B172),
   0
)</f>
        <v>0</v>
      </c>
      <c r="D172" s="80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46"/>
      <c r="B173" s="42" t="s">
        <v>61</v>
      </c>
      <c r="C173" s="37">
        <f ca="1">IFERROR(
   COUNTIF(INDIRECT("'" &amp; LOOKUP("zzz",$A$7:A173) &amp; "'!C:C"), B173),
   0
)</f>
        <v>0</v>
      </c>
      <c r="D173" s="49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46"/>
      <c r="B174" s="42" t="s">
        <v>323</v>
      </c>
      <c r="C174" s="37">
        <f ca="1">IFERROR(
   COUNTIF(INDIRECT("'" &amp; LOOKUP("zzz",$A$7:A174) &amp; "'!C:C"), B174),
   0
)</f>
        <v>0</v>
      </c>
      <c r="D174" s="49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46"/>
      <c r="B175" s="42" t="s">
        <v>324</v>
      </c>
      <c r="C175" s="37">
        <f ca="1">IFERROR(
   COUNTIF(INDIRECT("'" &amp; LOOKUP("zzz",$A$7:A175) &amp; "'!C:C"), B175),
   0
)</f>
        <v>0</v>
      </c>
      <c r="D175" s="49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46"/>
      <c r="B176" s="42" t="s">
        <v>101</v>
      </c>
      <c r="C176" s="37">
        <f ca="1">IFERROR(
   COUNTIF(INDIRECT("'" &amp; LOOKUP("zzz",$A$7:A176) &amp; "'!C:C"), B176),
   0
)</f>
        <v>0</v>
      </c>
      <c r="D176" s="49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36"/>
      <c r="B177" s="40" t="s">
        <v>320</v>
      </c>
      <c r="C177" s="35">
        <f ca="1">IFERROR(
   COUNTIF(INDIRECT("'" &amp; LOOKUP("zzz",$A$7:A177) &amp; "'!C:C"), B177),
   0
)</f>
        <v>0</v>
      </c>
      <c r="D177" s="48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69"/>
      <c r="B178" s="61" t="s">
        <v>335</v>
      </c>
      <c r="C178" s="50">
        <f ca="1">IFERROR(
   COUNTIF(INDIRECT("'" &amp; LOOKUP("zzz",$A$7:A178) &amp; "'!C:C"), B178),
   0
)</f>
        <v>0</v>
      </c>
      <c r="D178" s="81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71" t="s">
        <v>23</v>
      </c>
      <c r="B179" s="41" t="s">
        <v>62</v>
      </c>
      <c r="C179" s="73">
        <f ca="1">IFERROR(
   COUNTIF(INDIRECT("'" &amp; LOOKUP("zzz",$A$7:A179) &amp; "'!C:C"), B179),
   0
)</f>
        <v>0</v>
      </c>
      <c r="D179" s="80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36"/>
      <c r="B180" s="39" t="s">
        <v>81</v>
      </c>
      <c r="C180" s="35">
        <f ca="1">IFERROR(
   COUNTIF(INDIRECT("'" &amp; LOOKUP("zzz",$A$7:A180) &amp; "'!C:C"), B180),
   0
)</f>
        <v>0</v>
      </c>
      <c r="D180" s="48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36"/>
      <c r="B181" s="39" t="s">
        <v>102</v>
      </c>
      <c r="C181" s="35">
        <f ca="1">IFERROR(
   COUNTIF(INDIRECT("'" &amp; LOOKUP("zzz",$A$7:A181) &amp; "'!C:C"), B181),
   0
)</f>
        <v>0</v>
      </c>
      <c r="D181" s="48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36"/>
      <c r="B182" s="40" t="s">
        <v>118</v>
      </c>
      <c r="C182" s="35">
        <f ca="1">IFERROR(
   COUNTIF(INDIRECT("'" &amp; LOOKUP("zzz",$A$7:A182) &amp; "'!C:C"), B182),
   0
)</f>
        <v>0</v>
      </c>
      <c r="D182" s="48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35"/>
      <c r="B183" s="40" t="s">
        <v>130</v>
      </c>
      <c r="C183" s="35">
        <f ca="1">IFERROR(
   COUNTIF(INDIRECT("'" &amp; LOOKUP("zzz",$A$7:A183) &amp; "'!C:C"), B183),
   0
)</f>
        <v>0</v>
      </c>
      <c r="D183" s="48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36"/>
      <c r="B184" s="40" t="s">
        <v>138</v>
      </c>
      <c r="C184" s="35">
        <f ca="1">IFERROR(
   COUNTIF(INDIRECT("'" &amp; LOOKUP("zzz",$A$7:A184) &amp; "'!C:C"), B184),
   0
)</f>
        <v>0</v>
      </c>
      <c r="D184" s="48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35"/>
      <c r="B185" s="40" t="s">
        <v>140</v>
      </c>
      <c r="C185" s="35">
        <f ca="1">IFERROR(
   COUNTIF(INDIRECT("'" &amp; LOOKUP("zzz",$A$7:A185) &amp; "'!C:C"), B185),
   0
)</f>
        <v>0</v>
      </c>
      <c r="D185" s="48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47"/>
      <c r="B186" s="45" t="s">
        <v>142</v>
      </c>
      <c r="C186" s="44">
        <f ca="1">IFERROR(
   COUNTIF(INDIRECT("'" &amp; LOOKUP("zzz",$A$7:A186) &amp; "'!C:C"), B186),
   0
)</f>
        <v>0</v>
      </c>
      <c r="D186" s="81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46" t="s">
        <v>24</v>
      </c>
      <c r="B187" s="41" t="s">
        <v>44</v>
      </c>
      <c r="C187" s="37">
        <f ca="1">IFERROR(
   COUNTIF(INDIRECT("'" &amp; LOOKUP("zzz",$A$7:A187) &amp; "'!C:C"), B187),
   0
)</f>
        <v>0</v>
      </c>
      <c r="D187" s="80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46"/>
      <c r="B188" s="41" t="s">
        <v>189</v>
      </c>
      <c r="C188" s="37">
        <f ca="1">IFERROR(
   COUNTIF(INDIRECT("'" &amp; LOOKUP("zzz",$A$7:A188) &amp; "'!C:C"), B188),
   0
)</f>
        <v>0</v>
      </c>
      <c r="D188" s="48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36"/>
      <c r="B189" s="39" t="s">
        <v>64</v>
      </c>
      <c r="C189" s="35">
        <f ca="1">IFERROR(
   COUNTIF(INDIRECT("'" &amp; LOOKUP("zzz",$A$7:A189) &amp; "'!C:C"), B189),
   0
)</f>
        <v>0</v>
      </c>
      <c r="D189" s="48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47"/>
      <c r="B190" s="45" t="s">
        <v>83</v>
      </c>
      <c r="C190" s="44">
        <f ca="1">IFERROR(
   COUNTIF(INDIRECT("'" &amp; LOOKUP("zzz",$A$7:A190) &amp; "'!C:C"), B190),
   0
)</f>
        <v>0</v>
      </c>
      <c r="D190" s="81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46" t="s">
        <v>25</v>
      </c>
      <c r="B191" s="42" t="s">
        <v>45</v>
      </c>
      <c r="C191" s="37">
        <f ca="1">IFERROR(
   COUNTIF(INDIRECT("'" &amp; LOOKUP("zzz",$A$7:A191) &amp; "'!C:C"), B191),
   0
)</f>
        <v>0</v>
      </c>
      <c r="D191" s="80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35"/>
      <c r="B192" s="40" t="s">
        <v>65</v>
      </c>
      <c r="C192" s="35">
        <f ca="1">IFERROR(
   COUNTIF(INDIRECT("'" &amp; LOOKUP("zzz",$A$7:A192) &amp; "'!C:C"), B192),
   0
)</f>
        <v>0</v>
      </c>
      <c r="D192" s="48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36"/>
      <c r="B193" s="40" t="s">
        <v>84</v>
      </c>
      <c r="C193" s="35">
        <f ca="1">IFERROR(
   COUNTIF(INDIRECT("'" &amp; LOOKUP("zzz",$A$7:A193) &amp; "'!C:C"), B193),
   0
)</f>
        <v>0</v>
      </c>
      <c r="D193" s="48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35"/>
      <c r="B194" s="40" t="s">
        <v>103</v>
      </c>
      <c r="C194" s="35">
        <f ca="1">IFERROR(
   COUNTIF(INDIRECT("'" &amp; LOOKUP("zzz",$A$7:A194) &amp; "'!C:C"), B194),
   0
)</f>
        <v>0</v>
      </c>
      <c r="D194" s="48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35"/>
      <c r="B195" s="40" t="s">
        <v>336</v>
      </c>
      <c r="C195" s="35">
        <f ca="1">IFERROR(
   COUNTIF(INDIRECT("'" &amp; LOOKUP("zzz",$A$7:A195) &amp; "'!C:C"), B195),
   0
)</f>
        <v>0</v>
      </c>
      <c r="D195" s="48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36"/>
      <c r="B196" s="40" t="s">
        <v>120</v>
      </c>
      <c r="C196" s="35">
        <f ca="1">IFERROR(
   COUNTIF(INDIRECT("'" &amp; LOOKUP("zzz",$A$7:A196) &amp; "'!C:C"), B196),
   0
)</f>
        <v>0</v>
      </c>
      <c r="D196" s="48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47"/>
      <c r="B197" s="45" t="s">
        <v>131</v>
      </c>
      <c r="C197" s="44">
        <f ca="1">IFERROR(
   COUNTIF(INDIRECT("'" &amp; LOOKUP("zzz",$A$7:A197) &amp; "'!C:C"), B197),
   0
)</f>
        <v>0</v>
      </c>
      <c r="D197" s="81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46" t="s">
        <v>26</v>
      </c>
      <c r="B198" s="42" t="s">
        <v>46</v>
      </c>
      <c r="C198" s="37">
        <f ca="1">IFERROR(
   COUNTIF(INDIRECT("'" &amp; LOOKUP("zzz",$A$7:A198) &amp; "'!C:C"), B198),
   0
)</f>
        <v>0</v>
      </c>
      <c r="D198" s="80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46"/>
      <c r="B199" s="42" t="s">
        <v>198</v>
      </c>
      <c r="C199" s="37">
        <f ca="1">IFERROR(
   COUNTIF(INDIRECT("'" &amp; LOOKUP("zzz",$A$7:A199) &amp; "'!C:C"), B199),
   0
)</f>
        <v>0</v>
      </c>
      <c r="D199" s="48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36"/>
      <c r="B200" s="40" t="s">
        <v>66</v>
      </c>
      <c r="C200" s="35">
        <f ca="1">IFERROR(
   COUNTIF(INDIRECT("'" &amp; LOOKUP("zzz",$A$7:A200) &amp; "'!C:C"), B200),
   0
)</f>
        <v>0</v>
      </c>
      <c r="D200" s="48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36"/>
      <c r="B201" s="40" t="s">
        <v>85</v>
      </c>
      <c r="C201" s="35">
        <f ca="1">IFERROR(
   COUNTIF(INDIRECT("'" &amp; LOOKUP("zzz",$A$7:A201) &amp; "'!C:C"), B201),
   0
)</f>
        <v>0</v>
      </c>
      <c r="D201" s="48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47"/>
      <c r="B202" s="45" t="s">
        <v>104</v>
      </c>
      <c r="C202" s="44">
        <f ca="1">IFERROR(
   COUNTIF(INDIRECT("'" &amp; LOOKUP("zzz",$A$7:A202) &amp; "'!C:C"), B202),
   0
)</f>
        <v>0</v>
      </c>
      <c r="D202" s="81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46" t="s">
        <v>27</v>
      </c>
      <c r="B203" s="42" t="s">
        <v>47</v>
      </c>
      <c r="C203" s="37">
        <f ca="1">IFERROR(
   COUNTIF(INDIRECT("'" &amp; LOOKUP("zzz",$A$7:A203) &amp; "'!C:C"), B203),
   0
)</f>
        <v>0</v>
      </c>
      <c r="D203" s="80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36"/>
      <c r="B204" s="40" t="s">
        <v>67</v>
      </c>
      <c r="C204" s="35">
        <f ca="1">IFERROR(
   COUNTIF(INDIRECT("'" &amp; LOOKUP("zzz",$A$7:A204) &amp; "'!C:C"), B204),
   0
)</f>
        <v>0</v>
      </c>
      <c r="D204" s="48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35"/>
      <c r="B205" s="39" t="s">
        <v>86</v>
      </c>
      <c r="C205" s="35">
        <f ca="1">IFERROR(
   COUNTIF(INDIRECT("'" &amp; LOOKUP("zzz",$A$7:A205) &amp; "'!C:C"), B205),
   0
)</f>
        <v>0</v>
      </c>
      <c r="D205" s="48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36"/>
      <c r="B206" s="39" t="s">
        <v>105</v>
      </c>
      <c r="C206" s="35">
        <f ca="1">IFERROR(
   COUNTIF(INDIRECT("'" &amp; LOOKUP("zzz",$A$7:A206) &amp; "'!C:C"), B206),
   0
)</f>
        <v>0</v>
      </c>
      <c r="D206" s="48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36"/>
      <c r="B207" s="39" t="s">
        <v>121</v>
      </c>
      <c r="C207" s="35">
        <f ca="1">IFERROR(
   COUNTIF(INDIRECT("'" &amp; LOOKUP("zzz",$A$7:A207) &amp; "'!C:C"), B207),
   0
)</f>
        <v>0</v>
      </c>
      <c r="D207" s="48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47"/>
      <c r="B208" s="45" t="s">
        <v>132</v>
      </c>
      <c r="C208" s="44">
        <f ca="1">IFERROR(
   COUNTIF(INDIRECT("'" &amp; LOOKUP("zzz",$A$7:A208) &amp; "'!C:C"), B208),
   0
)</f>
        <v>0</v>
      </c>
      <c r="D208" s="81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37" t="s">
        <v>208</v>
      </c>
      <c r="B209" s="41" t="s">
        <v>232</v>
      </c>
      <c r="C209" s="37">
        <f ca="1">IFERROR(
   COUNTIF(INDIRECT("'" &amp; LOOKUP("zzz",$A$7:A209) &amp; "'!C:C"), B209),
   0
)</f>
        <v>0</v>
      </c>
      <c r="D209" s="80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35"/>
      <c r="B210" s="39" t="s">
        <v>231</v>
      </c>
      <c r="C210" s="35">
        <f ca="1">IFERROR(
   COUNTIF(INDIRECT("'" &amp; LOOKUP("zzz",$A$7:A210) &amp; "'!C:C"), B210),
   0
)</f>
        <v>0</v>
      </c>
      <c r="D210" s="48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60"/>
      <c r="B211" s="63" t="s">
        <v>230</v>
      </c>
      <c r="C211" s="60">
        <f ca="1">IFERROR(
   COUNTIF(INDIRECT("'" &amp; LOOKUP("zzz",$A$7:A211) &amp; "'!C:C"), B211),
   0
)</f>
        <v>0</v>
      </c>
      <c r="D211" s="81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46" t="s">
        <v>41</v>
      </c>
      <c r="B212" s="42" t="s">
        <v>337</v>
      </c>
      <c r="C212" s="37">
        <f ca="1">IFERROR(
   COUNTIF(INDIRECT("'" &amp; LOOKUP("zzz",$A$7:A212) &amp; "'!C:C"), B212),
   0
)</f>
        <v>0</v>
      </c>
      <c r="D212" s="80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35"/>
      <c r="B213" s="40" t="s">
        <v>338</v>
      </c>
      <c r="C213" s="35">
        <f ca="1">IFERROR(
   COUNTIF(INDIRECT("'" &amp; LOOKUP("zzz",$A$7:A213) &amp; "'!C:C"), B213),
   0
)</f>
        <v>0</v>
      </c>
      <c r="D213" s="48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35"/>
      <c r="B214" s="40" t="s">
        <v>339</v>
      </c>
      <c r="C214" s="35">
        <f ca="1">IFERROR(
   COUNTIF(INDIRECT("'" &amp; LOOKUP("zzz",$A$7:A214) &amp; "'!C:C"), B214),
   0
)</f>
        <v>0</v>
      </c>
      <c r="D214" s="48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35"/>
      <c r="B215" s="40" t="s">
        <v>48</v>
      </c>
      <c r="C215" s="35">
        <f ca="1">IFERROR(
   COUNTIF(INDIRECT("'" &amp; LOOKUP("zzz",$A$7:A215) &amp; "'!C:C"), B215),
   0
)</f>
        <v>0</v>
      </c>
      <c r="D215" s="48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35"/>
      <c r="B216" s="40" t="s">
        <v>68</v>
      </c>
      <c r="C216" s="35">
        <f ca="1">IFERROR(
   COUNTIF(INDIRECT("'" &amp; LOOKUP("zzz",$A$7:A216) &amp; "'!C:C"), B216),
   0
)</f>
        <v>0</v>
      </c>
      <c r="D216" s="48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36"/>
      <c r="B217" s="40" t="s">
        <v>87</v>
      </c>
      <c r="C217" s="35">
        <f ca="1">IFERROR(
   COUNTIF(INDIRECT("'" &amp; LOOKUP("zzz",$A$7:A217) &amp; "'!C:C"), B217),
   0
)</f>
        <v>0</v>
      </c>
      <c r="D217" s="48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44"/>
      <c r="B218" s="45" t="s">
        <v>106</v>
      </c>
      <c r="C218" s="44">
        <f ca="1">IFERROR(
   COUNTIF(INDIRECT("'" &amp; LOOKUP("zzz",$A$7:A218) &amp; "'!C:C"), B218),
   0
)</f>
        <v>0</v>
      </c>
      <c r="D218" s="81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46" t="s">
        <v>28</v>
      </c>
      <c r="B219" s="42" t="s">
        <v>49</v>
      </c>
      <c r="C219" s="37">
        <f ca="1">IFERROR(
   COUNTIF(INDIRECT("'" &amp; LOOKUP("zzz",$A$7:A219) &amp; "'!C:C"), B219),
   0
)</f>
        <v>0</v>
      </c>
      <c r="D219" s="80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36"/>
      <c r="B220" s="40" t="s">
        <v>69</v>
      </c>
      <c r="C220" s="35">
        <f ca="1">IFERROR(
   COUNTIF(INDIRECT("'" &amp; LOOKUP("zzz",$A$7:A220) &amp; "'!C:C"), B220),
   0
)</f>
        <v>0</v>
      </c>
      <c r="D220" s="48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36"/>
      <c r="B221" s="40" t="s">
        <v>88</v>
      </c>
      <c r="C221" s="35">
        <f ca="1">IFERROR(
   COUNTIF(INDIRECT("'" &amp; LOOKUP("zzz",$A$7:A221) &amp; "'!C:C"), B221),
   0
)</f>
        <v>0</v>
      </c>
      <c r="D221" s="48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47"/>
      <c r="B222" s="45" t="s">
        <v>107</v>
      </c>
      <c r="C222" s="44">
        <f ca="1">IFERROR(
   COUNTIF(INDIRECT("'" &amp; LOOKUP("zzz",$A$7:A222) &amp; "'!C:C"), B222),
   0
)</f>
        <v>0</v>
      </c>
      <c r="D222" s="81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46" t="s">
        <v>212</v>
      </c>
      <c r="B223" s="42" t="s">
        <v>220</v>
      </c>
      <c r="C223" s="37">
        <f ca="1">IFERROR(
   COUNTIF(INDIRECT("'" &amp; LOOKUP("zzz",$A$7:A223) &amp; "'!C:C"), B223),
   0
)</f>
        <v>0</v>
      </c>
      <c r="D223" s="80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62"/>
      <c r="B224" s="61" t="s">
        <v>219</v>
      </c>
      <c r="C224" s="60">
        <f ca="1">IFERROR(
   COUNTIF(INDIRECT("'" &amp; LOOKUP("zzz",$A$7:A224) &amp; "'!C:C"), B224),
   0
)</f>
        <v>0</v>
      </c>
      <c r="D224" s="81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46" t="s">
        <v>211</v>
      </c>
      <c r="B225" s="42" t="s">
        <v>225</v>
      </c>
      <c r="C225" s="37">
        <f ca="1">IFERROR(
   COUNTIF(INDIRECT("'" &amp; LOOKUP("zzz",$A$7:A225) &amp; "'!C:C"), B225),
   0
)</f>
        <v>0</v>
      </c>
      <c r="D225" s="80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35"/>
      <c r="B226" s="39" t="s">
        <v>224</v>
      </c>
      <c r="C226" s="35">
        <f ca="1">IFERROR(
   COUNTIF(INDIRECT("'" &amp; LOOKUP("zzz",$A$7:A226) &amp; "'!C:C"), B226),
   0
)</f>
        <v>0</v>
      </c>
      <c r="D226" s="48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35"/>
      <c r="B227" s="39" t="s">
        <v>223</v>
      </c>
      <c r="C227" s="35">
        <f ca="1">IFERROR(
   COUNTIF(INDIRECT("'" &amp; LOOKUP("zzz",$A$7:A227) &amp; "'!C:C"), B227),
   0
)</f>
        <v>0</v>
      </c>
      <c r="D227" s="48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36"/>
      <c r="B228" s="39" t="s">
        <v>222</v>
      </c>
      <c r="C228" s="35">
        <f ca="1">IFERROR(
   COUNTIF(INDIRECT("'" &amp; LOOKUP("zzz",$A$7:A228) &amp; "'!C:C"), B228),
   0
)</f>
        <v>0</v>
      </c>
      <c r="D228" s="48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62"/>
      <c r="B229" s="63" t="s">
        <v>221</v>
      </c>
      <c r="C229" s="60">
        <f ca="1">IFERROR(
   COUNTIF(INDIRECT("'" &amp; LOOKUP("zzz",$A$7:A229) &amp; "'!C:C"), B229),
   0
)</f>
        <v>0</v>
      </c>
      <c r="D229" s="81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46" t="s">
        <v>210</v>
      </c>
      <c r="B230" s="42" t="s">
        <v>229</v>
      </c>
      <c r="C230" s="37">
        <f ca="1">IFERROR(
   COUNTIF(INDIRECT("'" &amp; LOOKUP("zzz",$A$7:A230) &amp; "'!C:C"), B230),
   0
)</f>
        <v>0</v>
      </c>
      <c r="D230" s="80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46"/>
      <c r="B231" s="42" t="s">
        <v>228</v>
      </c>
      <c r="C231" s="35">
        <f ca="1">IFERROR(
   COUNTIF(INDIRECT("'" &amp; LOOKUP("zzz",$A$7:A231) &amp; "'!C:C"), B231),
   0
)</f>
        <v>0</v>
      </c>
      <c r="D231" s="48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36"/>
      <c r="B232" s="40" t="s">
        <v>227</v>
      </c>
      <c r="C232" s="35">
        <f ca="1">IFERROR(
   COUNTIF(INDIRECT("'" &amp; LOOKUP("zzz",$A$7:A232) &amp; "'!C:C"), B232),
   0
)</f>
        <v>0</v>
      </c>
      <c r="D232" s="48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62"/>
      <c r="B233" s="61" t="s">
        <v>226</v>
      </c>
      <c r="C233" s="60">
        <f ca="1">IFERROR(
   COUNTIF(INDIRECT("'" &amp; LOOKUP("zzz",$A$7:A233) &amp; "'!C:C"), B233),
   0
)</f>
        <v>0</v>
      </c>
      <c r="D233" s="81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46" t="s">
        <v>29</v>
      </c>
      <c r="B234" s="42" t="s">
        <v>50</v>
      </c>
      <c r="C234" s="37">
        <f ca="1">IFERROR(
   COUNTIF(INDIRECT("'" &amp; LOOKUP("zzz",$A$7:A234) &amp; "'!C:C"), B234),
   0
)</f>
        <v>0</v>
      </c>
      <c r="D234" s="80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36"/>
      <c r="B235" s="40" t="s">
        <v>70</v>
      </c>
      <c r="C235" s="35">
        <f ca="1">IFERROR(
   COUNTIF(INDIRECT("'" &amp; LOOKUP("zzz",$A$7:A235) &amp; "'!C:C"), B235),
   0
)</f>
        <v>0</v>
      </c>
      <c r="D235" s="48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36"/>
      <c r="B236" s="40" t="s">
        <v>89</v>
      </c>
      <c r="C236" s="35">
        <f ca="1">IFERROR(
   COUNTIF(INDIRECT("'" &amp; LOOKUP("zzz",$A$7:A236) &amp; "'!C:C"), B236),
   0
)</f>
        <v>0</v>
      </c>
      <c r="D236" s="48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36"/>
      <c r="B237" s="40" t="s">
        <v>108</v>
      </c>
      <c r="C237" s="35">
        <f ca="1">IFERROR(
   COUNTIF(INDIRECT("'" &amp; LOOKUP("zzz",$A$7:A237) &amp; "'!C:C"), B237),
   0
)</f>
        <v>0</v>
      </c>
      <c r="D237" s="48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44"/>
      <c r="B238" s="43" t="s">
        <v>122</v>
      </c>
      <c r="C238" s="44">
        <f ca="1">IFERROR(
   COUNTIF(INDIRECT("'" &amp; LOOKUP("zzz",$A$7:A238) &amp; "'!C:C"), B238),
   0
)</f>
        <v>0</v>
      </c>
      <c r="D238" s="81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46" t="s">
        <v>30</v>
      </c>
      <c r="B239" s="41" t="s">
        <v>51</v>
      </c>
      <c r="C239" s="37">
        <f ca="1">IFERROR(
   COUNTIF(INDIRECT("'" &amp; LOOKUP("zzz",$A$7:A239) &amp; "'!C:C"), B239),
   0
)</f>
        <v>0</v>
      </c>
      <c r="D239" s="80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36"/>
      <c r="B240" s="39" t="s">
        <v>71</v>
      </c>
      <c r="C240" s="35">
        <f ca="1">IFERROR(
   COUNTIF(INDIRECT("'" &amp; LOOKUP("zzz",$A$7:A240) &amp; "'!C:C"), B240),
   0
)</f>
        <v>0</v>
      </c>
      <c r="D240" s="48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36"/>
      <c r="B241" s="40" t="s">
        <v>90</v>
      </c>
      <c r="C241" s="35">
        <f ca="1">IFERROR(
   COUNTIF(INDIRECT("'" &amp; LOOKUP("zzz",$A$7:A241) &amp; "'!C:C"), B241),
   0
)</f>
        <v>0</v>
      </c>
      <c r="D241" s="48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36"/>
      <c r="B242" s="40" t="s">
        <v>109</v>
      </c>
      <c r="C242" s="35">
        <f ca="1">IFERROR(
   COUNTIF(INDIRECT("'" &amp; LOOKUP("zzz",$A$7:A242) &amp; "'!C:C"), B242),
   0
)</f>
        <v>0</v>
      </c>
      <c r="D242" s="48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35"/>
      <c r="B243" s="40" t="s">
        <v>123</v>
      </c>
      <c r="C243" s="35">
        <f ca="1">IFERROR(
   COUNTIF(INDIRECT("'" &amp; LOOKUP("zzz",$A$7:A243) &amp; "'!C:C"), B243),
   0
)</f>
        <v>0</v>
      </c>
      <c r="D243" s="48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47"/>
      <c r="B244" s="45" t="s">
        <v>133</v>
      </c>
      <c r="C244" s="44">
        <f ca="1">IFERROR(
   COUNTIF(INDIRECT("'" &amp; LOOKUP("zzz",$A$7:A244) &amp; "'!C:C"), B244),
   0
)</f>
        <v>0</v>
      </c>
      <c r="D244" s="81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66" t="s">
        <v>40</v>
      </c>
      <c r="B245" s="67" t="s">
        <v>17</v>
      </c>
      <c r="C245" s="66">
        <f ca="1">IFERROR(
   COUNTIF(INDIRECT("'" &amp; LOOKUP("zzz",$A$7:A245) &amp; "'!C:C"), B245),
   0
)</f>
        <v>0</v>
      </c>
      <c r="D245" s="80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35"/>
      <c r="B246" s="39" t="s">
        <v>340</v>
      </c>
      <c r="C246" s="35">
        <f ca="1">IFERROR(
   COUNTIF(INDIRECT("'" &amp; LOOKUP("zzz",$A$7:A246) &amp; "'!C:C"), B246),
   0
)</f>
        <v>0</v>
      </c>
      <c r="D246" s="48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35"/>
      <c r="B247" s="39" t="s">
        <v>80</v>
      </c>
      <c r="C247" s="35">
        <f ca="1">IFERROR(
   COUNTIF(INDIRECT("'" &amp; LOOKUP("zzz",$A$7:A247) &amp; "'!C:C"), B247),
   0
)</f>
        <v>0</v>
      </c>
      <c r="D247" s="48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35"/>
      <c r="B248" s="39" t="s">
        <v>43</v>
      </c>
      <c r="C248" s="35">
        <f ca="1">IFERROR(
   COUNTIF(INDIRECT("'" &amp; LOOKUP("zzz",$A$7:A248) &amp; "'!C:C"), B248),
   0
)</f>
        <v>0</v>
      </c>
      <c r="D248" s="48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50"/>
      <c r="B249" s="59" t="s">
        <v>157</v>
      </c>
      <c r="C249" s="35">
        <f ca="1">IFERROR(
   COUNTIF(INDIRECT("'" &amp; LOOKUP("zzz",$A$7:A249) &amp; "'!C:C"), B249),
   0
)</f>
        <v>0</v>
      </c>
      <c r="D249" s="48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50"/>
      <c r="B250" s="59" t="s">
        <v>319</v>
      </c>
      <c r="C250" s="35">
        <f ca="1">IFERROR(
   COUNTIF(INDIRECT("'" &amp; LOOKUP("zzz",$A$7:A250) &amp; "'!C:C"), B250),
   0
)</f>
        <v>0</v>
      </c>
      <c r="D250" s="48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50"/>
      <c r="B251" s="59" t="s">
        <v>261</v>
      </c>
      <c r="C251" s="35">
        <f ca="1">IFERROR(
   COUNTIF(INDIRECT("'" &amp; LOOKUP("zzz",$A$7:A251) &amp; "'!C:C"), B251),
   0
)</f>
        <v>0</v>
      </c>
      <c r="D251" s="48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35"/>
      <c r="B252" s="39" t="s">
        <v>263</v>
      </c>
      <c r="C252" s="35">
        <f ca="1">IFERROR(
   COUNTIF(INDIRECT("'" &amp; LOOKUP("zzz",$A$7:A252) &amp; "'!C:C"), B252),
   0
)</f>
        <v>0</v>
      </c>
      <c r="D252" s="48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35"/>
      <c r="B253" s="39" t="s">
        <v>262</v>
      </c>
      <c r="C253" s="35">
        <f ca="1">IFERROR(
   COUNTIF(INDIRECT("'" &amp; LOOKUP("zzz",$A$7:A253) &amp; "'!C:C"), B253),
   0
)</f>
        <v>0</v>
      </c>
      <c r="D253" s="81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68" t="s">
        <v>21</v>
      </c>
      <c r="B254" s="55" t="s">
        <v>321</v>
      </c>
      <c r="C254" s="54">
        <f ca="1">IFERROR(
   COUNTIF(INDIRECT("'" &amp; LOOKUP("zzz",$A$7:A254) &amp; "'!C:C"), B254),
   0
)</f>
        <v>0</v>
      </c>
      <c r="D254" s="80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35"/>
      <c r="B255" s="39" t="s">
        <v>197</v>
      </c>
      <c r="C255" s="35">
        <f ca="1">IFERROR(
   COUNTIF(INDIRECT("'" &amp; LOOKUP("zzz",$A$7:A255) &amp; "'!C:C"), B255),
   0
)</f>
        <v>0</v>
      </c>
      <c r="D255" s="48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35"/>
      <c r="B256" s="39" t="s">
        <v>60</v>
      </c>
      <c r="C256" s="35">
        <f ca="1">IFERROR(
   COUNTIF(INDIRECT("'" &amp; LOOKUP("zzz",$A$7:A256) &amp; "'!C:C"), B256),
   0
)</f>
        <v>0</v>
      </c>
      <c r="D256" s="48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35"/>
      <c r="B257" s="39" t="s">
        <v>79</v>
      </c>
      <c r="C257" s="35">
        <f ca="1">IFERROR(
   COUNTIF(INDIRECT("'" &amp; LOOKUP("zzz",$A$7:A257) &amp; "'!C:C"), B257),
   0
)</f>
        <v>0</v>
      </c>
      <c r="D257" s="48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50"/>
      <c r="B258" s="59" t="s">
        <v>100</v>
      </c>
      <c r="C258" s="35">
        <f ca="1">IFERROR(
   COUNTIF(INDIRECT("'" &amp; LOOKUP("zzz",$A$7:A258) &amp; "'!C:C"), B258),
   0
)</f>
        <v>0</v>
      </c>
      <c r="D258" s="48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50"/>
      <c r="B259" s="59" t="s">
        <v>194</v>
      </c>
      <c r="C259" s="35">
        <f ca="1">IFERROR(
   COUNTIF(INDIRECT("'" &amp; LOOKUP("zzz",$A$7:A259) &amp; "'!C:C"), B259),
   0
)</f>
        <v>0</v>
      </c>
      <c r="D259" s="48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50"/>
      <c r="B260" s="59" t="s">
        <v>341</v>
      </c>
      <c r="C260" s="35">
        <f ca="1">IFERROR(
   COUNTIF(INDIRECT("'" &amp; LOOKUP("zzz",$A$7:A260) &amp; "'!C:C"), B260),
   0
)</f>
        <v>0</v>
      </c>
      <c r="D260" s="48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50"/>
      <c r="B261" s="59" t="s">
        <v>196</v>
      </c>
      <c r="C261" s="35">
        <f ca="1">IFERROR(
   COUNTIF(INDIRECT("'" &amp; LOOKUP("zzz",$A$7:A261) &amp; "'!C:C"), B261),
   0
)</f>
        <v>0</v>
      </c>
      <c r="D261" s="48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50"/>
      <c r="B262" s="59" t="s">
        <v>195</v>
      </c>
      <c r="C262" s="35">
        <f ca="1">IFERROR(
   COUNTIF(INDIRECT("'" &amp; LOOKUP("zzz",$A$7:A262) &amp; "'!C:C"), B262),
   0
)</f>
        <v>0</v>
      </c>
      <c r="D262" s="48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44"/>
      <c r="B263" s="43" t="s">
        <v>117</v>
      </c>
      <c r="C263" s="44">
        <f ca="1">IFERROR(
   COUNTIF(INDIRECT("'" &amp; LOOKUP("zzz",$A$7:A263) &amp; "'!C:C"), B263),
   0
)</f>
        <v>0</v>
      </c>
      <c r="D263" s="81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46" t="s">
        <v>325</v>
      </c>
      <c r="B264" s="42" t="s">
        <v>215</v>
      </c>
      <c r="C264" s="37">
        <f ca="1">IFERROR(
   COUNTIF(INDIRECT("'" &amp; LOOKUP("zzz",$A$7:A264) &amp; "'!C:C"), B264),
   0
)</f>
        <v>0</v>
      </c>
      <c r="D264" s="80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46"/>
      <c r="B265" s="42" t="s">
        <v>16</v>
      </c>
      <c r="C265" s="35">
        <f ca="1">IFERROR(
   COUNTIF(INDIRECT("'" &amp; LOOKUP("zzz",$A$7:A265) &amp; "'!C:C"), B265),
   0
)</f>
        <v>0</v>
      </c>
      <c r="D265" s="48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46"/>
      <c r="B266" s="40" t="s">
        <v>63</v>
      </c>
      <c r="C266" s="35">
        <f ca="1">IFERROR(
   COUNTIF(INDIRECT("'" &amp; LOOKUP("zzz",$A$7:A266) &amp; "'!C:C"), B266),
   0
)</f>
        <v>0</v>
      </c>
      <c r="D266" s="48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46"/>
      <c r="B267" s="40" t="s">
        <v>82</v>
      </c>
      <c r="C267" s="35">
        <f ca="1">IFERROR(
   COUNTIF(INDIRECT("'" &amp; LOOKUP("zzz",$A$7:A267) &amp; "'!C:C"), B267),
   0
)</f>
        <v>0</v>
      </c>
      <c r="D267" s="48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46"/>
      <c r="B268" s="40" t="s">
        <v>119</v>
      </c>
      <c r="C268" s="35">
        <f ca="1">IFERROR(
   COUNTIF(INDIRECT("'" &amp; LOOKUP("zzz",$A$7:A268) &amp; "'!C:C"), B268),
   0
)</f>
        <v>0</v>
      </c>
      <c r="D268" s="48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46"/>
      <c r="B269" s="40" t="s">
        <v>342</v>
      </c>
      <c r="C269" s="35">
        <f ca="1">IFERROR(
   COUNTIF(INDIRECT("'" &amp; LOOKUP("zzz",$A$7:A269) &amp; "'!C:C"), B269),
   0
)</f>
        <v>0</v>
      </c>
      <c r="D269" s="48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46"/>
      <c r="B270" s="40" t="s">
        <v>139</v>
      </c>
      <c r="C270" s="35">
        <f ca="1">IFERROR(
   COUNTIF(INDIRECT("'" &amp; LOOKUP("zzz",$A$7:A270) &amp; "'!C:C"), B270),
   0
)</f>
        <v>0</v>
      </c>
      <c r="D270" s="48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35"/>
      <c r="B271" s="40" t="s">
        <v>214</v>
      </c>
      <c r="C271" s="35">
        <f ca="1">IFERROR(
   COUNTIF(INDIRECT("'" &amp; LOOKUP("zzz",$A$7:A271) &amp; "'!C:C"), B271),
   0
)</f>
        <v>0</v>
      </c>
      <c r="D271" s="48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69"/>
      <c r="B272" s="70" t="s">
        <v>213</v>
      </c>
      <c r="C272" s="50">
        <f ca="1">IFERROR(
   COUNTIF(INDIRECT("'" &amp; LOOKUP("zzz",$A$7:A272) &amp; "'!C:C"), B272),
   0
)</f>
        <v>0</v>
      </c>
      <c r="D272" s="81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68" t="s">
        <v>209</v>
      </c>
      <c r="B273" s="55" t="s">
        <v>218</v>
      </c>
      <c r="C273" s="54">
        <f ca="1">IFERROR(
   COUNTIF(INDIRECT("'" &amp; LOOKUP("zzz",$A$7:A273) &amp; "'!C:C"), B273),
   0
)</f>
        <v>0</v>
      </c>
      <c r="D273" s="80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46"/>
      <c r="B274" s="41" t="s">
        <v>216</v>
      </c>
      <c r="C274" s="37">
        <f ca="1">IFERROR(
   COUNTIF(INDIRECT("'" &amp; LOOKUP("zzz",$A$7:A274) &amp; "'!C:C"), B274),
   0
)</f>
        <v>0</v>
      </c>
      <c r="D274" s="49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46"/>
      <c r="B275" s="41" t="s">
        <v>343</v>
      </c>
      <c r="C275" s="37">
        <f ca="1">IFERROR(
   COUNTIF(INDIRECT("'" &amp; LOOKUP("zzz",$A$7:A275) &amp; "'!C:C"), B275),
   0
)</f>
        <v>0</v>
      </c>
      <c r="D275" s="49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36"/>
      <c r="B276" s="39" t="s">
        <v>344</v>
      </c>
      <c r="C276" s="35">
        <f ca="1">IFERROR(
   COUNTIF(INDIRECT("'" &amp; LOOKUP("zzz",$A$7:A276) &amp; "'!C:C"), B276),
   0
)</f>
        <v>0</v>
      </c>
      <c r="D276" s="48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47"/>
      <c r="B277" s="45" t="s">
        <v>217</v>
      </c>
      <c r="C277" s="44">
        <f ca="1">IFERROR(
   COUNTIF(INDIRECT("'" &amp; LOOKUP("zzz",$A$7:A277) &amp; "'!C:C"), B277),
   0
)</f>
        <v>0</v>
      </c>
      <c r="D277" s="81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46" t="s">
        <v>269</v>
      </c>
      <c r="B278" s="42" t="s">
        <v>270</v>
      </c>
      <c r="C278" s="37">
        <f ca="1">IFERROR(
   COUNTIF(INDIRECT("'" &amp; LOOKUP("zzz",$A$7:A278) &amp; "'!C:C"), B278),
   0
)</f>
        <v>0</v>
      </c>
      <c r="D278" s="80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46"/>
      <c r="B279" s="42" t="s">
        <v>271</v>
      </c>
      <c r="C279" s="35">
        <f ca="1">IFERROR(
   COUNTIF(INDIRECT("'" &amp; LOOKUP("zzz",$A$7:A279) &amp; "'!C:C"), B279),
   0
)</f>
        <v>0</v>
      </c>
      <c r="D279" s="48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35"/>
      <c r="B280" s="40" t="s">
        <v>272</v>
      </c>
      <c r="C280" s="35">
        <f ca="1">IFERROR(
   COUNTIF(INDIRECT("'" &amp; LOOKUP("zzz",$A$7:A280) &amp; "'!C:C"), B280),
   0
)</f>
        <v>0</v>
      </c>
      <c r="D280" s="48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46"/>
      <c r="B281" s="42" t="s">
        <v>273</v>
      </c>
      <c r="C281" s="35">
        <f ca="1">IFERROR(
   COUNTIF(INDIRECT("'" &amp; LOOKUP("zzz",$A$7:A281) &amp; "'!C:C"), B281),
   0
)</f>
        <v>0</v>
      </c>
      <c r="D281" s="48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35"/>
      <c r="B282" s="40" t="s">
        <v>274</v>
      </c>
      <c r="C282" s="35">
        <f ca="1">IFERROR(
   COUNTIF(INDIRECT("'" &amp; LOOKUP("zzz",$A$7:A282) &amp; "'!C:C"), B282),
   0
)</f>
        <v>0</v>
      </c>
      <c r="D282" s="48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75"/>
      <c r="B283" s="76" t="s">
        <v>275</v>
      </c>
      <c r="C283" s="50">
        <f ca="1">IFERROR(
   COUNTIF(INDIRECT("'" &amp; LOOKUP("zzz",$A$7:A283) &amp; "'!C:C"), B283),
   0
)</f>
        <v>0</v>
      </c>
      <c r="D283" s="81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71" t="s">
        <v>283</v>
      </c>
      <c r="B284" s="72" t="s">
        <v>285</v>
      </c>
      <c r="C284" s="73">
        <f ca="1">IFERROR(
   COUNTIF(INDIRECT("'" &amp; LOOKUP("zzz",$A$7:A284) &amp; "'!C:C"), B284),
   0
)</f>
        <v>0</v>
      </c>
      <c r="D284" s="80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46"/>
      <c r="B285" s="42" t="s">
        <v>278</v>
      </c>
      <c r="C285" s="35">
        <f ca="1">IFERROR(
   COUNTIF(INDIRECT("'" &amp; LOOKUP("zzz",$A$7:A285) &amp; "'!C:C"), B285),
   0
)</f>
        <v>0</v>
      </c>
      <c r="D285" s="48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35"/>
      <c r="B286" s="40" t="s">
        <v>286</v>
      </c>
      <c r="C286" s="35">
        <f ca="1">IFERROR(
   COUNTIF(INDIRECT("'" &amp; LOOKUP("zzz",$A$7:A286) &amp; "'!C:C"), B286),
   0
)</f>
        <v>0</v>
      </c>
      <c r="D286" s="48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46"/>
      <c r="B287" s="42" t="s">
        <v>279</v>
      </c>
      <c r="C287" s="35">
        <f ca="1">IFERROR(
   COUNTIF(INDIRECT("'" &amp; LOOKUP("zzz",$A$7:A287) &amp; "'!C:C"), B287),
   0
)</f>
        <v>0</v>
      </c>
      <c r="D287" s="48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35"/>
      <c r="B288" s="40" t="s">
        <v>277</v>
      </c>
      <c r="C288" s="35">
        <f ca="1">IFERROR(
   COUNTIF(INDIRECT("'" &amp; LOOKUP("zzz",$A$7:A288) &amp; "'!C:C"), B288),
   0
)</f>
        <v>0</v>
      </c>
      <c r="D288" s="81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71" t="s">
        <v>284</v>
      </c>
      <c r="B289" s="72" t="s">
        <v>287</v>
      </c>
      <c r="C289" s="73">
        <f ca="1">IFERROR(
   COUNTIF(INDIRECT("'" &amp; LOOKUP("zzz",$A$7:A289) &amp; "'!C:C"), B289),
   0
)</f>
        <v>0</v>
      </c>
      <c r="D289" s="80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46"/>
      <c r="B290" s="42" t="s">
        <v>282</v>
      </c>
      <c r="C290" s="35">
        <f ca="1">IFERROR(
   COUNTIF(INDIRECT("'" &amp; LOOKUP("zzz",$A$7:A290) &amp; "'!C:C"), B290),
   0
)</f>
        <v>0</v>
      </c>
      <c r="D290" s="48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35"/>
      <c r="B291" s="40" t="s">
        <v>288</v>
      </c>
      <c r="C291" s="35">
        <f ca="1">IFERROR(
   COUNTIF(INDIRECT("'" &amp; LOOKUP("zzz",$A$7:A291) &amp; "'!C:C"), B291),
   0
)</f>
        <v>0</v>
      </c>
      <c r="D291" s="48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46"/>
      <c r="B292" s="42" t="s">
        <v>281</v>
      </c>
      <c r="C292" s="35">
        <f ca="1">IFERROR(
   COUNTIF(INDIRECT("'" &amp; LOOKUP("zzz",$A$7:A292) &amp; "'!C:C"), B292),
   0
)</f>
        <v>0</v>
      </c>
      <c r="D292" s="48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35"/>
      <c r="B293" s="40" t="s">
        <v>280</v>
      </c>
      <c r="C293" s="35">
        <f ca="1">IFERROR(
   COUNTIF(INDIRECT("'" &amp; LOOKUP("zzz",$A$7:A293) &amp; "'!C:C"), B293),
   0
)</f>
        <v>0</v>
      </c>
      <c r="D293" s="48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46"/>
      <c r="B294" s="42" t="s">
        <v>289</v>
      </c>
      <c r="C294" s="35">
        <f ca="1">IFERROR(
   COUNTIF(INDIRECT("'" &amp; LOOKUP("zzz",$A$7:A294) &amp; "'!C:C"), B294),
   0
)</f>
        <v>0</v>
      </c>
      <c r="D294" s="48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35"/>
      <c r="B295" s="40" t="s">
        <v>290</v>
      </c>
      <c r="C295" s="35">
        <f ca="1">IFERROR(
   COUNTIF(INDIRECT("'" &amp; LOOKUP("zzz",$A$7:A295) &amp; "'!C:C"), B295),
   0
)</f>
        <v>0</v>
      </c>
      <c r="D295" s="48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71" t="s">
        <v>345</v>
      </c>
      <c r="B296" s="72" t="s">
        <v>346</v>
      </c>
      <c r="C296" s="73">
        <f ca="1">IFERROR(
   COUNTIF(INDIRECT("'" &amp; LOOKUP("zzz",$A$7:A296) &amp; "'!C:C"), B296),
   0
)</f>
        <v>0</v>
      </c>
      <c r="D296" s="80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46"/>
      <c r="B297" s="42" t="s">
        <v>347</v>
      </c>
      <c r="C297" s="35">
        <f ca="1">IFERROR(
   COUNTIF(INDIRECT("'" &amp; LOOKUP("zzz",$A$7:A297) &amp; "'!C:C"), B297),
   0
)</f>
        <v>0</v>
      </c>
      <c r="D297" s="48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35"/>
      <c r="B298" s="40" t="s">
        <v>348</v>
      </c>
      <c r="C298" s="35">
        <f ca="1">IFERROR(
   COUNTIF(INDIRECT("'" &amp; LOOKUP("zzz",$A$7:A298) &amp; "'!C:C"), B298),
   0
)</f>
        <v>0</v>
      </c>
      <c r="D298" s="48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46"/>
      <c r="B299" s="42" t="s">
        <v>349</v>
      </c>
      <c r="C299" s="35">
        <f ca="1">IFERROR(
   COUNTIF(INDIRECT("'" &amp; LOOKUP("zzz",$A$7:A299) &amp; "'!C:C"), B299),
   0
)</f>
        <v>0</v>
      </c>
      <c r="D299" s="48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35"/>
      <c r="B300" s="40" t="s">
        <v>350</v>
      </c>
      <c r="C300" s="35">
        <f ca="1">IFERROR(
   COUNTIF(INDIRECT("'" &amp; LOOKUP("zzz",$A$7:A300) &amp; "'!C:C"), B300),
   0
)</f>
        <v>0</v>
      </c>
      <c r="D300" s="48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46"/>
      <c r="B301" s="42" t="s">
        <v>351</v>
      </c>
      <c r="C301" s="35">
        <f ca="1">IFERROR(
   COUNTIF(INDIRECT("'" &amp; LOOKUP("zzz",$A$7:A301) &amp; "'!C:C"), B301),
   0
)</f>
        <v>0</v>
      </c>
      <c r="D301" s="48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8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91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64.5" customHeight="1" x14ac:dyDescent="0.2">
      <c r="A19" s="86"/>
      <c r="B19" s="13"/>
      <c r="C19" s="14"/>
      <c r="D19" s="23"/>
      <c r="E19" s="23"/>
    </row>
    <row r="20" spans="1:7" s="15" customFormat="1" ht="64.5" customHeight="1" x14ac:dyDescent="0.2">
      <c r="A20" s="86"/>
      <c r="B20" s="13"/>
      <c r="C20" s="14"/>
      <c r="D20" s="23"/>
      <c r="E20" s="23"/>
    </row>
    <row r="21" spans="1:7" s="15" customFormat="1" ht="64.5" customHeight="1" x14ac:dyDescent="0.2">
      <c r="A21" s="86"/>
      <c r="B21" s="13"/>
      <c r="C21" s="14"/>
      <c r="D21" s="23"/>
      <c r="E21" s="23"/>
    </row>
    <row r="22" spans="1:7" s="21" customFormat="1" ht="64.5" customHeight="1" x14ac:dyDescent="0.2">
      <c r="A22" s="86"/>
      <c r="B22" s="13"/>
      <c r="C22" s="14"/>
      <c r="D22" s="23"/>
      <c r="E22" s="23"/>
      <c r="F22" s="20"/>
    </row>
    <row r="23" spans="1:7" ht="64.5" customHeight="1" x14ac:dyDescent="0.2">
      <c r="A23" s="86"/>
      <c r="B23" s="13"/>
      <c r="C23" s="14"/>
      <c r="D23" s="23"/>
      <c r="E23" s="23"/>
      <c r="G23" s="1"/>
    </row>
    <row r="24" spans="1:7" ht="64.5" customHeight="1" x14ac:dyDescent="0.2">
      <c r="A24" s="86"/>
      <c r="B24" s="13"/>
      <c r="C24" s="14"/>
      <c r="D24" s="23"/>
      <c r="E24" s="23"/>
      <c r="G24" s="1"/>
    </row>
    <row r="25" spans="1:7" ht="64.5" customHeight="1" x14ac:dyDescent="0.2">
      <c r="A25" s="86"/>
      <c r="B25" s="13"/>
      <c r="C25" s="14"/>
      <c r="D25" s="23"/>
      <c r="E25" s="23"/>
      <c r="G25" s="1"/>
    </row>
    <row r="26" spans="1:7" ht="64.5" customHeight="1" x14ac:dyDescent="0.2">
      <c r="A26" s="86"/>
      <c r="B26" s="13"/>
      <c r="C26" s="14"/>
      <c r="D26" s="23"/>
      <c r="E26" s="23"/>
      <c r="G26" s="1"/>
    </row>
    <row r="27" spans="1:7" ht="64.5" customHeight="1" x14ac:dyDescent="0.2">
      <c r="A27" s="86"/>
      <c r="B27" s="13"/>
      <c r="C27" s="14"/>
      <c r="D27" s="23"/>
      <c r="E27" s="23"/>
      <c r="G27" s="1"/>
    </row>
    <row r="28" spans="1:7" ht="64.5" customHeight="1" x14ac:dyDescent="0.2">
      <c r="A28" s="86"/>
      <c r="B28" s="13"/>
      <c r="C28" s="14"/>
      <c r="D28" s="23"/>
      <c r="E28" s="23"/>
      <c r="G28" s="1"/>
    </row>
    <row r="29" spans="1:7" ht="64.5" customHeight="1" x14ac:dyDescent="0.2">
      <c r="A29" s="86"/>
      <c r="B29" s="13"/>
      <c r="C29" s="14"/>
      <c r="D29" s="23"/>
      <c r="E29" s="23"/>
      <c r="G29" s="1"/>
    </row>
    <row r="30" spans="1:7" ht="64.5" customHeight="1" x14ac:dyDescent="0.25">
      <c r="A30" s="86"/>
      <c r="B30" s="13"/>
      <c r="C30" s="14"/>
      <c r="D30" s="27"/>
      <c r="E30" s="27"/>
      <c r="G30" s="1"/>
    </row>
    <row r="31" spans="1:7" ht="16" x14ac:dyDescent="0.2">
      <c r="A31" s="87"/>
      <c r="B31" s="22"/>
      <c r="C31" s="22"/>
      <c r="D31" s="22"/>
      <c r="E31" s="22"/>
      <c r="G31" s="1"/>
    </row>
    <row r="32" spans="1:7" ht="16" x14ac:dyDescent="0.2">
      <c r="A32" s="87"/>
      <c r="B32" s="22"/>
      <c r="C32" s="22"/>
      <c r="D32" s="22"/>
      <c r="E32" s="22"/>
      <c r="G32" s="1"/>
    </row>
    <row r="33" spans="1:7" ht="16" x14ac:dyDescent="0.2">
      <c r="A33" s="87"/>
      <c r="B33" s="22"/>
      <c r="C33" s="22"/>
      <c r="D33" s="22"/>
      <c r="E33" s="22"/>
      <c r="G33" s="1"/>
    </row>
    <row r="34" spans="1:7" ht="16" x14ac:dyDescent="0.2">
      <c r="A34" s="87"/>
      <c r="B34" s="22"/>
      <c r="C34" s="22"/>
      <c r="D34" s="22"/>
      <c r="E34" s="22"/>
      <c r="G34" s="1"/>
    </row>
    <row r="35" spans="1:7" customFormat="1" ht="16" x14ac:dyDescent="0.2">
      <c r="A35" s="87"/>
      <c r="B35" s="22"/>
      <c r="C35" s="22"/>
      <c r="D35" s="22"/>
      <c r="E35" s="22"/>
      <c r="F35" s="22"/>
    </row>
    <row r="36" spans="1:7" customFormat="1" ht="16" x14ac:dyDescent="0.2">
      <c r="A36" s="87"/>
      <c r="B36" s="22"/>
      <c r="C36" s="22"/>
      <c r="D36" s="22"/>
      <c r="E36" s="22"/>
      <c r="F36" s="22"/>
    </row>
    <row r="37" spans="1:7" customFormat="1" ht="16" x14ac:dyDescent="0.2">
      <c r="A37" s="87"/>
      <c r="B37" s="22"/>
      <c r="C37" s="22"/>
      <c r="D37" s="22"/>
      <c r="E37" s="22"/>
      <c r="F37" s="22"/>
    </row>
    <row r="38" spans="1:7" customFormat="1" ht="16" x14ac:dyDescent="0.2">
      <c r="A38" s="87"/>
      <c r="B38" s="22"/>
      <c r="C38" s="22"/>
      <c r="D38" s="22"/>
      <c r="E38" s="22"/>
      <c r="F38" s="22"/>
    </row>
    <row r="39" spans="1:7" customFormat="1" ht="16" x14ac:dyDescent="0.2">
      <c r="A39" s="87"/>
      <c r="B39" s="22"/>
      <c r="C39" s="22"/>
      <c r="D39" s="22"/>
      <c r="E39" s="22"/>
      <c r="F39" s="22"/>
    </row>
    <row r="40" spans="1:7" customFormat="1" ht="16" x14ac:dyDescent="0.2">
      <c r="A40" s="87"/>
      <c r="B40" s="22"/>
      <c r="C40" s="22"/>
      <c r="D40" s="22"/>
      <c r="E40" s="22"/>
      <c r="F40" s="22"/>
    </row>
    <row r="41" spans="1:7" customFormat="1" ht="16" x14ac:dyDescent="0.2">
      <c r="A41" s="87"/>
      <c r="B41" s="22"/>
      <c r="C41" s="22"/>
      <c r="D41" s="22"/>
      <c r="E41" s="22"/>
      <c r="F41" s="22"/>
    </row>
    <row r="42" spans="1:7" customFormat="1" ht="16" x14ac:dyDescent="0.2">
      <c r="A42" s="87"/>
      <c r="B42" s="22"/>
      <c r="C42" s="22"/>
      <c r="D42" s="22"/>
      <c r="E42" s="22"/>
      <c r="F42" s="22"/>
    </row>
    <row r="43" spans="1:7" customFormat="1" ht="16" x14ac:dyDescent="0.2">
      <c r="A43" s="87"/>
      <c r="B43" s="22"/>
      <c r="C43" s="22"/>
      <c r="D43" s="22"/>
      <c r="E43" s="22"/>
      <c r="F43" s="22"/>
    </row>
    <row r="44" spans="1:7" customFormat="1" ht="16" x14ac:dyDescent="0.2">
      <c r="A44" s="87"/>
      <c r="B44" s="22"/>
      <c r="C44" s="22"/>
      <c r="D44" s="22"/>
      <c r="E44" s="22"/>
      <c r="F44" s="22"/>
    </row>
    <row r="45" spans="1:7" customFormat="1" ht="16" x14ac:dyDescent="0.2">
      <c r="A45" s="87"/>
      <c r="B45" s="22"/>
      <c r="C45" s="22"/>
      <c r="D45" s="22"/>
      <c r="E45" s="22"/>
      <c r="F45" s="22"/>
    </row>
    <row r="46" spans="1:7" customFormat="1" ht="16" x14ac:dyDescent="0.2">
      <c r="A46" s="87"/>
      <c r="B46" s="22"/>
      <c r="C46" s="22"/>
      <c r="D46" s="22"/>
      <c r="E46" s="22"/>
      <c r="F46" s="22"/>
    </row>
    <row r="47" spans="1:7" customFormat="1" ht="16" x14ac:dyDescent="0.2">
      <c r="A47" s="87"/>
      <c r="B47" s="22"/>
      <c r="C47" s="22"/>
      <c r="D47" s="22"/>
      <c r="E47" s="22"/>
      <c r="F47" s="22"/>
    </row>
    <row r="48" spans="1:7" customFormat="1" ht="16" x14ac:dyDescent="0.2">
      <c r="A48" s="87"/>
      <c r="B48" s="22"/>
      <c r="C48" s="22"/>
      <c r="D48" s="22"/>
      <c r="E48" s="22"/>
      <c r="F48" s="22"/>
    </row>
    <row r="49" spans="1:6" customFormat="1" ht="16" x14ac:dyDescent="0.2">
      <c r="A49" s="87"/>
      <c r="B49" s="22"/>
      <c r="C49" s="22"/>
      <c r="D49" s="22"/>
      <c r="E49" s="22"/>
      <c r="F49" s="22"/>
    </row>
    <row r="50" spans="1:6" customFormat="1" ht="16" x14ac:dyDescent="0.2">
      <c r="A50" s="87"/>
      <c r="B50" s="22"/>
      <c r="C50" s="22"/>
      <c r="D50" s="22"/>
      <c r="E50" s="22"/>
      <c r="F50" s="22"/>
    </row>
    <row r="51" spans="1:6" customFormat="1" ht="16" x14ac:dyDescent="0.2">
      <c r="A51" s="87"/>
      <c r="B51" s="22"/>
      <c r="C51" s="22"/>
      <c r="D51" s="22"/>
      <c r="E51" s="22"/>
      <c r="F51" s="22"/>
    </row>
    <row r="52" spans="1:6" customFormat="1" ht="16" x14ac:dyDescent="0.2">
      <c r="A52" s="87"/>
      <c r="B52" s="22"/>
      <c r="C52" s="22"/>
      <c r="D52" s="22"/>
      <c r="E52" s="22"/>
      <c r="F52" s="22"/>
    </row>
    <row r="53" spans="1:6" customFormat="1" ht="16" x14ac:dyDescent="0.2">
      <c r="A53" s="87"/>
      <c r="B53" s="22"/>
      <c r="C53" s="22"/>
      <c r="D53" s="22"/>
      <c r="E53" s="22"/>
      <c r="F53" s="22"/>
    </row>
    <row r="54" spans="1:6" customFormat="1" ht="16" x14ac:dyDescent="0.2">
      <c r="A54" s="87"/>
      <c r="B54" s="22"/>
      <c r="C54" s="22"/>
      <c r="D54" s="22"/>
      <c r="E54" s="22"/>
      <c r="F54" s="22"/>
    </row>
    <row r="55" spans="1:6" customFormat="1" ht="16" x14ac:dyDescent="0.2">
      <c r="A55" s="87"/>
      <c r="B55" s="22"/>
      <c r="C55" s="22"/>
      <c r="D55" s="22"/>
      <c r="E55" s="22"/>
      <c r="F55" s="22"/>
    </row>
    <row r="56" spans="1:6" customFormat="1" ht="16" x14ac:dyDescent="0.2">
      <c r="A56" s="87"/>
      <c r="B56" s="22"/>
      <c r="C56" s="22"/>
      <c r="D56" s="22"/>
      <c r="E56" s="22"/>
      <c r="F56" s="22"/>
    </row>
    <row r="57" spans="1:6" customFormat="1" ht="16" x14ac:dyDescent="0.2">
      <c r="A57" s="87"/>
      <c r="B57" s="22"/>
      <c r="C57" s="22"/>
      <c r="D57" s="22"/>
      <c r="E57" s="22"/>
      <c r="F57" s="22"/>
    </row>
    <row r="58" spans="1:6" customFormat="1" ht="16" x14ac:dyDescent="0.2">
      <c r="A58" s="87"/>
      <c r="B58" s="22"/>
      <c r="C58" s="22"/>
      <c r="D58" s="22"/>
      <c r="E58" s="22"/>
      <c r="F58" s="22"/>
    </row>
    <row r="59" spans="1:6" customFormat="1" ht="16" x14ac:dyDescent="0.2">
      <c r="A59" s="87"/>
      <c r="B59" s="22"/>
      <c r="C59" s="22"/>
      <c r="D59" s="22"/>
      <c r="E59" s="22"/>
      <c r="F59" s="22"/>
    </row>
    <row r="60" spans="1:6" customFormat="1" ht="16" x14ac:dyDescent="0.2">
      <c r="A60" s="87"/>
      <c r="B60" s="22"/>
      <c r="C60" s="22"/>
      <c r="D60" s="22"/>
      <c r="E60" s="22"/>
      <c r="F60" s="22"/>
    </row>
    <row r="61" spans="1:6" customFormat="1" ht="16" x14ac:dyDescent="0.2">
      <c r="A61" s="87"/>
      <c r="B61" s="22"/>
      <c r="C61" s="22"/>
      <c r="D61" s="22"/>
      <c r="E61" s="22"/>
      <c r="F61" s="22"/>
    </row>
    <row r="62" spans="1:6" customFormat="1" ht="16" x14ac:dyDescent="0.2">
      <c r="A62" s="87"/>
      <c r="B62" s="22"/>
      <c r="C62" s="22"/>
      <c r="D62" s="22"/>
      <c r="E62" s="22"/>
      <c r="F62" s="22"/>
    </row>
    <row r="63" spans="1:6" customFormat="1" ht="16" x14ac:dyDescent="0.2">
      <c r="A63" s="87"/>
      <c r="B63" s="22"/>
      <c r="C63" s="22"/>
      <c r="D63" s="22"/>
      <c r="E63" s="22"/>
      <c r="F63" s="22"/>
    </row>
    <row r="64" spans="1:6" customFormat="1" ht="16" x14ac:dyDescent="0.2">
      <c r="A64" s="87"/>
      <c r="B64" s="22"/>
      <c r="C64" s="22"/>
      <c r="D64" s="22"/>
      <c r="E64" s="22"/>
      <c r="F64" s="22"/>
    </row>
    <row r="65" spans="1:6" customFormat="1" ht="16" x14ac:dyDescent="0.2">
      <c r="A65" s="87"/>
      <c r="B65" s="22"/>
      <c r="C65" s="22"/>
      <c r="D65" s="22"/>
      <c r="E65" s="22"/>
      <c r="F65" s="22"/>
    </row>
    <row r="66" spans="1:6" customFormat="1" ht="16" x14ac:dyDescent="0.2">
      <c r="A66" s="87"/>
      <c r="B66" s="22"/>
      <c r="C66" s="22"/>
      <c r="D66" s="22"/>
      <c r="E66" s="22"/>
      <c r="F66" s="22"/>
    </row>
    <row r="67" spans="1:6" customFormat="1" ht="16" x14ac:dyDescent="0.2">
      <c r="A67" s="87"/>
      <c r="B67" s="22"/>
      <c r="C67" s="22"/>
      <c r="D67" s="22"/>
      <c r="E67" s="22"/>
      <c r="F67" s="22"/>
    </row>
    <row r="68" spans="1:6" customFormat="1" ht="16" x14ac:dyDescent="0.2">
      <c r="A68" s="87"/>
      <c r="B68" s="22"/>
      <c r="C68" s="22"/>
      <c r="D68" s="22"/>
      <c r="E68" s="22"/>
      <c r="F68" s="22"/>
    </row>
    <row r="69" spans="1:6" customFormat="1" ht="16" x14ac:dyDescent="0.2">
      <c r="A69" s="87"/>
      <c r="B69" s="22"/>
      <c r="C69" s="22"/>
      <c r="D69" s="22"/>
      <c r="E69" s="22"/>
      <c r="F69" s="22"/>
    </row>
    <row r="70" spans="1:6" customFormat="1" ht="16" x14ac:dyDescent="0.2">
      <c r="A70" s="87"/>
      <c r="B70" s="22"/>
      <c r="C70" s="22"/>
      <c r="D70" s="22"/>
      <c r="E70" s="22"/>
      <c r="F70" s="22"/>
    </row>
    <row r="71" spans="1:6" customFormat="1" ht="16" x14ac:dyDescent="0.2">
      <c r="A71" s="87"/>
      <c r="B71" s="22"/>
      <c r="C71" s="22"/>
      <c r="D71" s="22"/>
      <c r="E71" s="22"/>
      <c r="F71" s="22"/>
    </row>
    <row r="72" spans="1:6" customFormat="1" ht="16" x14ac:dyDescent="0.2">
      <c r="A72" s="87"/>
      <c r="B72" s="22"/>
      <c r="C72" s="22"/>
      <c r="D72" s="22"/>
      <c r="E72" s="22"/>
      <c r="F72" s="22"/>
    </row>
    <row r="73" spans="1:6" customFormat="1" ht="16" x14ac:dyDescent="0.2">
      <c r="A73" s="87"/>
      <c r="B73" s="22"/>
      <c r="C73" s="22"/>
      <c r="D73" s="22"/>
      <c r="E73" s="22"/>
      <c r="F73" s="22"/>
    </row>
    <row r="74" spans="1:6" customFormat="1" ht="16" x14ac:dyDescent="0.2">
      <c r="A74" s="87"/>
      <c r="B74" s="22"/>
      <c r="C74" s="22"/>
      <c r="D74" s="22"/>
      <c r="E74" s="22"/>
      <c r="F74" s="22"/>
    </row>
    <row r="75" spans="1:6" customFormat="1" ht="16" x14ac:dyDescent="0.2">
      <c r="A75" s="87"/>
      <c r="B75" s="22"/>
      <c r="C75" s="22"/>
      <c r="D75" s="22"/>
      <c r="E75" s="22"/>
      <c r="F75" s="22"/>
    </row>
    <row r="76" spans="1:6" customFormat="1" ht="16" x14ac:dyDescent="0.2">
      <c r="A76" s="87"/>
      <c r="B76" s="22"/>
      <c r="C76" s="22"/>
      <c r="D76" s="22"/>
      <c r="E76" s="22"/>
      <c r="F76" s="22"/>
    </row>
    <row r="77" spans="1:6" customFormat="1" ht="16" x14ac:dyDescent="0.2">
      <c r="A77" s="87"/>
      <c r="B77" s="22"/>
      <c r="C77" s="22"/>
      <c r="D77" s="22"/>
      <c r="E77" s="22"/>
      <c r="F77" s="22"/>
    </row>
    <row r="78" spans="1:6" customFormat="1" ht="16" x14ac:dyDescent="0.2">
      <c r="A78" s="88"/>
      <c r="B78" s="1"/>
      <c r="C78" s="1"/>
      <c r="D78" s="1"/>
      <c r="E78" s="1"/>
      <c r="F78" s="22"/>
    </row>
    <row r="79" spans="1:6" customFormat="1" ht="16" x14ac:dyDescent="0.2">
      <c r="A79" s="88"/>
      <c r="B79" s="1"/>
      <c r="C79" s="1"/>
      <c r="D79" s="1"/>
      <c r="E79" s="1"/>
      <c r="F79" s="22"/>
    </row>
    <row r="80" spans="1:6" customFormat="1" ht="16" x14ac:dyDescent="0.2">
      <c r="A80" s="88"/>
      <c r="B80" s="1"/>
      <c r="C80" s="1"/>
      <c r="D80" s="1"/>
      <c r="E80" s="1"/>
      <c r="F80" s="22"/>
    </row>
    <row r="81" spans="1:6" customFormat="1" ht="16" x14ac:dyDescent="0.2">
      <c r="A81" s="88"/>
      <c r="B81" s="1"/>
      <c r="C81" s="1"/>
      <c r="D81" s="1"/>
      <c r="E81" s="1"/>
      <c r="F81" s="22"/>
    </row>
    <row r="82" spans="1:6" customFormat="1" ht="16" x14ac:dyDescent="0.2">
      <c r="A82" s="88"/>
      <c r="B82" s="1"/>
      <c r="C82" s="1"/>
      <c r="D82" s="1"/>
      <c r="E82" s="1"/>
      <c r="F82" s="22"/>
    </row>
    <row r="83" spans="1:6" customFormat="1" ht="16" x14ac:dyDescent="0.2">
      <c r="A83" s="88"/>
      <c r="B83" s="1"/>
      <c r="C83" s="1"/>
      <c r="D83" s="1"/>
      <c r="E83" s="1"/>
      <c r="F83" s="22"/>
    </row>
    <row r="84" spans="1:6" customFormat="1" ht="16" x14ac:dyDescent="0.2">
      <c r="A84" s="88"/>
      <c r="B84" s="1"/>
      <c r="C84" s="1"/>
      <c r="D84" s="1"/>
      <c r="E84" s="1"/>
      <c r="F84" s="22"/>
    </row>
    <row r="85" spans="1:6" customFormat="1" ht="16" x14ac:dyDescent="0.2">
      <c r="A85" s="88"/>
      <c r="B85" s="1"/>
      <c r="C85" s="1"/>
      <c r="D85" s="1"/>
      <c r="E85" s="1"/>
      <c r="F85" s="22"/>
    </row>
    <row r="86" spans="1:6" customFormat="1" ht="16" x14ac:dyDescent="0.2">
      <c r="A86" s="88"/>
      <c r="B86" s="1"/>
      <c r="C86" s="1"/>
      <c r="D86" s="1"/>
      <c r="E86" s="1"/>
      <c r="F86" s="22"/>
    </row>
    <row r="87" spans="1:6" customFormat="1" ht="16" x14ac:dyDescent="0.2">
      <c r="A87" s="88"/>
      <c r="B87" s="1"/>
      <c r="C87" s="1"/>
      <c r="D87" s="1"/>
      <c r="E87" s="1"/>
      <c r="F87" s="22"/>
    </row>
    <row r="88" spans="1:6" customFormat="1" ht="16" x14ac:dyDescent="0.2">
      <c r="A88" s="88"/>
      <c r="B88" s="1"/>
      <c r="C88" s="1"/>
      <c r="D88" s="1"/>
      <c r="E88" s="1"/>
      <c r="F88" s="22"/>
    </row>
    <row r="89" spans="1:6" customFormat="1" ht="16" x14ac:dyDescent="0.2">
      <c r="A89" s="88"/>
      <c r="B89" s="1"/>
      <c r="C89" s="1"/>
      <c r="D89" s="1"/>
      <c r="E89" s="1"/>
      <c r="F89" s="22"/>
    </row>
    <row r="90" spans="1:6" customFormat="1" ht="16" x14ac:dyDescent="0.2">
      <c r="A90" s="88"/>
      <c r="B90" s="1"/>
      <c r="C90" s="1"/>
      <c r="D90" s="1"/>
      <c r="E90" s="1"/>
      <c r="F90" s="22"/>
    </row>
    <row r="91" spans="1:6" customFormat="1" ht="16" x14ac:dyDescent="0.2">
      <c r="A91" s="88"/>
      <c r="B91" s="1"/>
      <c r="C91" s="1"/>
      <c r="D91" s="1"/>
      <c r="E91" s="1"/>
      <c r="F91" s="22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9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</row>
    <row r="9" spans="1:17" s="15" customFormat="1" ht="64.5" customHeight="1" x14ac:dyDescent="0.2">
      <c r="A9" s="86"/>
      <c r="B9" s="13"/>
      <c r="C9" s="14"/>
      <c r="D9" s="23"/>
      <c r="E9" s="23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</row>
    <row r="10" spans="1:17" s="16" customFormat="1" ht="64.5" customHeight="1" x14ac:dyDescent="0.2">
      <c r="A10" s="86"/>
      <c r="B10" s="13"/>
      <c r="C10" s="14"/>
      <c r="D10" s="23"/>
      <c r="E10" s="23"/>
      <c r="F10" s="17"/>
      <c r="G10" s="17"/>
      <c r="H10" s="17"/>
      <c r="I10" s="17"/>
      <c r="J10" s="17"/>
      <c r="K10" s="17"/>
      <c r="L10" s="15"/>
      <c r="M10" s="17"/>
      <c r="N10" s="17"/>
      <c r="O10" s="17"/>
      <c r="P10" s="17"/>
      <c r="Q10" s="17"/>
    </row>
    <row r="11" spans="1:17" s="17" customFormat="1" ht="64.5" customHeight="1" x14ac:dyDescent="0.2">
      <c r="A11" s="86"/>
      <c r="B11" s="13"/>
      <c r="C11" s="14"/>
      <c r="D11" s="23"/>
      <c r="E11" s="23"/>
      <c r="F11" s="15"/>
      <c r="G11" s="15"/>
      <c r="H11" s="15"/>
      <c r="I11" s="15"/>
      <c r="J11" s="15"/>
      <c r="K11" s="15"/>
      <c r="M11" s="15"/>
      <c r="N11" s="15"/>
      <c r="O11" s="15"/>
      <c r="P11" s="15"/>
      <c r="Q11" s="15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64.5" customHeight="1" x14ac:dyDescent="0.2">
      <c r="A19" s="86"/>
      <c r="B19" s="13"/>
      <c r="C19" s="14"/>
      <c r="D19" s="23"/>
      <c r="E19" s="23"/>
    </row>
    <row r="20" spans="1:7" s="15" customFormat="1" ht="64.5" customHeight="1" x14ac:dyDescent="0.25">
      <c r="A20" s="89"/>
      <c r="B20" s="18"/>
      <c r="C20" s="19"/>
      <c r="D20" s="28"/>
      <c r="E20" s="28"/>
    </row>
    <row r="21" spans="1:7" s="21" customFormat="1" ht="64.5" customHeight="1" x14ac:dyDescent="0.25">
      <c r="A21" s="89"/>
      <c r="B21" s="18"/>
      <c r="C21" s="19"/>
      <c r="D21" s="28"/>
      <c r="E21" s="28"/>
      <c r="F21" s="20"/>
    </row>
    <row r="22" spans="1:7" ht="64.5" customHeight="1" x14ac:dyDescent="0.25">
      <c r="A22" s="89"/>
      <c r="B22" s="18"/>
      <c r="C22" s="19"/>
      <c r="D22" s="28"/>
      <c r="E22" s="28"/>
      <c r="G22" s="1"/>
    </row>
    <row r="23" spans="1:7" ht="64.5" customHeight="1" x14ac:dyDescent="0.25">
      <c r="A23" s="89"/>
      <c r="B23" s="18"/>
      <c r="C23" s="19"/>
      <c r="D23" s="28"/>
      <c r="E23" s="28"/>
      <c r="G23" s="1"/>
    </row>
    <row r="24" spans="1:7" ht="64.5" customHeight="1" x14ac:dyDescent="0.25">
      <c r="A24" s="89"/>
      <c r="B24" s="18"/>
      <c r="C24" s="19"/>
      <c r="D24" s="28"/>
      <c r="E24" s="28"/>
      <c r="G24" s="1"/>
    </row>
    <row r="25" spans="1:7" ht="64.5" customHeight="1" x14ac:dyDescent="0.25">
      <c r="A25" s="89"/>
      <c r="B25" s="18"/>
      <c r="C25" s="19"/>
      <c r="D25" s="28"/>
      <c r="E25" s="28"/>
      <c r="G25" s="1"/>
    </row>
    <row r="26" spans="1:7" ht="64.5" customHeight="1" x14ac:dyDescent="0.25">
      <c r="A26" s="89"/>
      <c r="B26" s="18"/>
      <c r="C26" s="19"/>
      <c r="D26" s="28"/>
      <c r="E26" s="28"/>
      <c r="G26" s="1"/>
    </row>
    <row r="27" spans="1:7" ht="64.5" customHeight="1" x14ac:dyDescent="0.2">
      <c r="A27" s="87"/>
      <c r="B27" s="22"/>
      <c r="C27" s="22"/>
      <c r="D27" s="22"/>
      <c r="E27" s="22"/>
      <c r="G27" s="1"/>
    </row>
    <row r="28" spans="1:7" ht="64.5" customHeight="1" x14ac:dyDescent="0.2">
      <c r="A28" s="87"/>
      <c r="B28" s="22"/>
      <c r="C28" s="22"/>
      <c r="D28" s="22"/>
      <c r="E28" s="22"/>
      <c r="G28" s="1"/>
    </row>
    <row r="29" spans="1:7" ht="64.5" customHeight="1" x14ac:dyDescent="0.2">
      <c r="A29" s="87"/>
      <c r="B29" s="22"/>
      <c r="C29" s="22"/>
      <c r="D29" s="22"/>
      <c r="E29" s="22"/>
      <c r="G29" s="1"/>
    </row>
    <row r="30" spans="1:7" ht="16" x14ac:dyDescent="0.2">
      <c r="A30" s="87"/>
      <c r="B30" s="22"/>
      <c r="C30" s="22"/>
      <c r="D30" s="22"/>
      <c r="E30" s="22"/>
      <c r="G30" s="1"/>
    </row>
    <row r="31" spans="1:7" ht="16" x14ac:dyDescent="0.2">
      <c r="A31" s="87"/>
      <c r="B31" s="22"/>
      <c r="C31" s="22"/>
      <c r="D31" s="22"/>
      <c r="E31" s="22"/>
      <c r="G31" s="1"/>
    </row>
    <row r="32" spans="1:7" ht="16" x14ac:dyDescent="0.2">
      <c r="A32" s="87"/>
      <c r="B32" s="22"/>
      <c r="C32" s="22"/>
      <c r="D32" s="22"/>
      <c r="E32" s="22"/>
      <c r="G32" s="1"/>
    </row>
    <row r="33" spans="1:7" ht="16" x14ac:dyDescent="0.2">
      <c r="A33" s="87"/>
      <c r="B33" s="22"/>
      <c r="C33" s="22"/>
      <c r="D33" s="22"/>
      <c r="E33" s="22"/>
      <c r="G33" s="1"/>
    </row>
    <row r="34" spans="1:7" customFormat="1" ht="16" x14ac:dyDescent="0.2">
      <c r="A34" s="87"/>
      <c r="B34" s="22"/>
      <c r="C34" s="22"/>
      <c r="D34" s="22"/>
      <c r="E34" s="22"/>
      <c r="F34" s="22"/>
    </row>
    <row r="35" spans="1:7" customFormat="1" ht="16" x14ac:dyDescent="0.2">
      <c r="A35" s="87"/>
      <c r="B35" s="22"/>
      <c r="C35" s="22"/>
      <c r="D35" s="22"/>
      <c r="E35" s="22"/>
      <c r="F35" s="22"/>
    </row>
    <row r="36" spans="1:7" customFormat="1" ht="16" x14ac:dyDescent="0.2">
      <c r="A36" s="87"/>
      <c r="B36" s="22"/>
      <c r="C36" s="22"/>
      <c r="D36" s="22"/>
      <c r="E36" s="22"/>
      <c r="F36" s="22"/>
    </row>
    <row r="37" spans="1:7" customFormat="1" ht="16" x14ac:dyDescent="0.2">
      <c r="A37" s="87"/>
      <c r="B37" s="22"/>
      <c r="C37" s="22"/>
      <c r="D37" s="22"/>
      <c r="E37" s="22"/>
      <c r="F37" s="22"/>
    </row>
    <row r="38" spans="1:7" customFormat="1" ht="16" x14ac:dyDescent="0.2">
      <c r="A38" s="87"/>
      <c r="B38" s="22"/>
      <c r="C38" s="22"/>
      <c r="D38" s="22"/>
      <c r="E38" s="22"/>
      <c r="F38" s="22"/>
    </row>
    <row r="39" spans="1:7" customFormat="1" ht="16" x14ac:dyDescent="0.2">
      <c r="A39" s="87"/>
      <c r="B39" s="22"/>
      <c r="C39" s="22"/>
      <c r="D39" s="22"/>
      <c r="E39" s="22"/>
      <c r="F39" s="22"/>
    </row>
    <row r="40" spans="1:7" customFormat="1" ht="16" x14ac:dyDescent="0.2">
      <c r="A40" s="87"/>
      <c r="B40" s="22"/>
      <c r="C40" s="22"/>
      <c r="D40" s="22"/>
      <c r="E40" s="22"/>
      <c r="F40" s="22"/>
    </row>
    <row r="41" spans="1:7" customFormat="1" ht="16" x14ac:dyDescent="0.2">
      <c r="A41" s="87"/>
      <c r="B41" s="22"/>
      <c r="C41" s="22"/>
      <c r="D41" s="22"/>
      <c r="E41" s="22"/>
      <c r="F41" s="22"/>
    </row>
    <row r="42" spans="1:7" customFormat="1" ht="16" x14ac:dyDescent="0.2">
      <c r="A42" s="87"/>
      <c r="B42" s="22"/>
      <c r="C42" s="22"/>
      <c r="D42" s="22"/>
      <c r="E42" s="22"/>
      <c r="F42" s="22"/>
    </row>
    <row r="43" spans="1:7" customFormat="1" ht="16" x14ac:dyDescent="0.2">
      <c r="A43" s="87"/>
      <c r="B43" s="22"/>
      <c r="C43" s="22"/>
      <c r="D43" s="22"/>
      <c r="E43" s="22"/>
      <c r="F43" s="22"/>
    </row>
    <row r="44" spans="1:7" customFormat="1" ht="16" x14ac:dyDescent="0.2">
      <c r="A44" s="87"/>
      <c r="B44" s="22"/>
      <c r="C44" s="22"/>
      <c r="D44" s="22"/>
      <c r="E44" s="22"/>
      <c r="F44" s="22"/>
    </row>
    <row r="45" spans="1:7" customFormat="1" ht="16" x14ac:dyDescent="0.2">
      <c r="A45" s="87"/>
      <c r="B45" s="22"/>
      <c r="C45" s="22"/>
      <c r="D45" s="22"/>
      <c r="E45" s="22"/>
      <c r="F45" s="22"/>
    </row>
    <row r="46" spans="1:7" customFormat="1" ht="16" x14ac:dyDescent="0.2">
      <c r="A46" s="87"/>
      <c r="B46" s="22"/>
      <c r="C46" s="22"/>
      <c r="D46" s="22"/>
      <c r="E46" s="22"/>
      <c r="F46" s="22"/>
    </row>
    <row r="47" spans="1:7" customFormat="1" ht="16" x14ac:dyDescent="0.2">
      <c r="A47" s="87"/>
      <c r="B47" s="22"/>
      <c r="C47" s="22"/>
      <c r="D47" s="22"/>
      <c r="E47" s="22"/>
      <c r="F47" s="22"/>
    </row>
    <row r="48" spans="1:7" customFormat="1" ht="16" x14ac:dyDescent="0.2">
      <c r="A48" s="87"/>
      <c r="B48" s="22"/>
      <c r="C48" s="22"/>
      <c r="D48" s="22"/>
      <c r="E48" s="22"/>
      <c r="F48" s="22"/>
    </row>
    <row r="49" spans="1:6" customFormat="1" ht="16" x14ac:dyDescent="0.2">
      <c r="A49" s="87"/>
      <c r="B49" s="22"/>
      <c r="C49" s="22"/>
      <c r="D49" s="22"/>
      <c r="E49" s="22"/>
      <c r="F49" s="22"/>
    </row>
    <row r="50" spans="1:6" customFormat="1" ht="16" x14ac:dyDescent="0.2">
      <c r="A50" s="87"/>
      <c r="B50" s="22"/>
      <c r="C50" s="22"/>
      <c r="D50" s="22"/>
      <c r="E50" s="22"/>
      <c r="F50" s="22"/>
    </row>
    <row r="51" spans="1:6" customFormat="1" ht="16" x14ac:dyDescent="0.2">
      <c r="A51" s="87"/>
      <c r="B51" s="22"/>
      <c r="C51" s="22"/>
      <c r="D51" s="22"/>
      <c r="E51" s="22"/>
      <c r="F51" s="22"/>
    </row>
    <row r="52" spans="1:6" customFormat="1" ht="16" x14ac:dyDescent="0.2">
      <c r="A52" s="87"/>
      <c r="B52" s="22"/>
      <c r="C52" s="22"/>
      <c r="D52" s="22"/>
      <c r="E52" s="22"/>
      <c r="F52" s="22"/>
    </row>
    <row r="53" spans="1:6" customFormat="1" ht="16" x14ac:dyDescent="0.2">
      <c r="A53" s="87"/>
      <c r="B53" s="22"/>
      <c r="C53" s="22"/>
      <c r="D53" s="22"/>
      <c r="E53" s="22"/>
      <c r="F53" s="22"/>
    </row>
    <row r="54" spans="1:6" customFormat="1" ht="16" x14ac:dyDescent="0.2">
      <c r="A54" s="87"/>
      <c r="B54" s="22"/>
      <c r="C54" s="22"/>
      <c r="D54" s="22"/>
      <c r="E54" s="22"/>
      <c r="F54" s="22"/>
    </row>
    <row r="55" spans="1:6" customFormat="1" ht="16" x14ac:dyDescent="0.2">
      <c r="A55" s="87"/>
      <c r="B55" s="22"/>
      <c r="C55" s="22"/>
      <c r="D55" s="22"/>
      <c r="E55" s="22"/>
      <c r="F55" s="22"/>
    </row>
    <row r="56" spans="1:6" customFormat="1" ht="16" x14ac:dyDescent="0.2">
      <c r="A56" s="87"/>
      <c r="B56" s="22"/>
      <c r="C56" s="22"/>
      <c r="D56" s="22"/>
      <c r="E56" s="22"/>
      <c r="F56" s="22"/>
    </row>
    <row r="57" spans="1:6" customFormat="1" ht="16" x14ac:dyDescent="0.2">
      <c r="A57" s="87"/>
      <c r="B57" s="22"/>
      <c r="C57" s="22"/>
      <c r="D57" s="22"/>
      <c r="E57" s="22"/>
      <c r="F57" s="22"/>
    </row>
    <row r="58" spans="1:6" customFormat="1" ht="16" x14ac:dyDescent="0.2">
      <c r="A58" s="87"/>
      <c r="B58" s="22"/>
      <c r="C58" s="22"/>
      <c r="D58" s="22"/>
      <c r="E58" s="22"/>
      <c r="F58" s="22"/>
    </row>
    <row r="59" spans="1:6" customFormat="1" ht="16" x14ac:dyDescent="0.2">
      <c r="A59" s="87"/>
      <c r="B59" s="22"/>
      <c r="C59" s="22"/>
      <c r="D59" s="22"/>
      <c r="E59" s="22"/>
      <c r="F59" s="22"/>
    </row>
    <row r="60" spans="1:6" customFormat="1" ht="16" x14ac:dyDescent="0.2">
      <c r="A60" s="87"/>
      <c r="B60" s="22"/>
      <c r="C60" s="22"/>
      <c r="D60" s="22"/>
      <c r="E60" s="22"/>
      <c r="F60" s="22"/>
    </row>
    <row r="61" spans="1:6" customFormat="1" ht="16" x14ac:dyDescent="0.2">
      <c r="A61" s="87"/>
      <c r="B61" s="22"/>
      <c r="C61" s="22"/>
      <c r="D61" s="22"/>
      <c r="E61" s="22"/>
      <c r="F61" s="22"/>
    </row>
    <row r="62" spans="1:6" customFormat="1" ht="16" x14ac:dyDescent="0.2">
      <c r="A62" s="87"/>
      <c r="B62" s="22"/>
      <c r="C62" s="22"/>
      <c r="D62" s="22"/>
      <c r="E62" s="22"/>
      <c r="F62" s="22"/>
    </row>
    <row r="63" spans="1:6" customFormat="1" ht="16" x14ac:dyDescent="0.2">
      <c r="A63" s="87"/>
      <c r="B63" s="22"/>
      <c r="C63" s="22"/>
      <c r="D63" s="22"/>
      <c r="E63" s="22"/>
      <c r="F63" s="22"/>
    </row>
    <row r="64" spans="1:6" customFormat="1" ht="16" x14ac:dyDescent="0.2">
      <c r="A64" s="87"/>
      <c r="B64" s="22"/>
      <c r="C64" s="22"/>
      <c r="D64" s="22"/>
      <c r="E64" s="22"/>
      <c r="F64" s="22"/>
    </row>
    <row r="65" spans="1:6" customFormat="1" ht="16" x14ac:dyDescent="0.2">
      <c r="A65" s="87"/>
      <c r="B65" s="22"/>
      <c r="C65" s="22"/>
      <c r="D65" s="22"/>
      <c r="E65" s="22"/>
      <c r="F65" s="22"/>
    </row>
    <row r="66" spans="1:6" customFormat="1" ht="16" x14ac:dyDescent="0.2">
      <c r="A66" s="87"/>
      <c r="B66" s="22"/>
      <c r="C66" s="22"/>
      <c r="D66" s="22"/>
      <c r="E66" s="22"/>
      <c r="F66" s="22"/>
    </row>
    <row r="67" spans="1:6" customFormat="1" ht="16" x14ac:dyDescent="0.2">
      <c r="A67" s="87"/>
      <c r="B67" s="22"/>
      <c r="C67" s="22"/>
      <c r="D67" s="22"/>
      <c r="E67" s="22"/>
      <c r="F67" s="22"/>
    </row>
    <row r="68" spans="1:6" customFormat="1" ht="16" x14ac:dyDescent="0.2">
      <c r="A68" s="87"/>
      <c r="B68" s="22"/>
      <c r="C68" s="22"/>
      <c r="D68" s="22"/>
      <c r="E68" s="22"/>
      <c r="F68" s="22"/>
    </row>
    <row r="69" spans="1:6" customFormat="1" ht="16" x14ac:dyDescent="0.2">
      <c r="A69" s="87"/>
      <c r="B69" s="22"/>
      <c r="C69" s="22"/>
      <c r="D69" s="22"/>
      <c r="E69" s="22"/>
      <c r="F69" s="22"/>
    </row>
    <row r="70" spans="1:6" customFormat="1" ht="16" x14ac:dyDescent="0.2">
      <c r="A70" s="87"/>
      <c r="B70" s="22"/>
      <c r="C70" s="22"/>
      <c r="D70" s="22"/>
      <c r="E70" s="22"/>
      <c r="F70" s="22"/>
    </row>
    <row r="71" spans="1:6" customFormat="1" ht="16" x14ac:dyDescent="0.2">
      <c r="A71" s="87"/>
      <c r="B71" s="22"/>
      <c r="C71" s="22"/>
      <c r="D71" s="22"/>
      <c r="E71" s="22"/>
      <c r="F71" s="22"/>
    </row>
    <row r="72" spans="1:6" customFormat="1" ht="16" x14ac:dyDescent="0.2">
      <c r="A72" s="87"/>
      <c r="B72" s="22"/>
      <c r="C72" s="22"/>
      <c r="D72" s="22"/>
      <c r="E72" s="22"/>
      <c r="F72" s="22"/>
    </row>
    <row r="73" spans="1:6" customFormat="1" ht="16" x14ac:dyDescent="0.2">
      <c r="A73" s="87"/>
      <c r="B73" s="22"/>
      <c r="C73" s="22"/>
      <c r="D73" s="22"/>
      <c r="E73" s="22"/>
      <c r="F73" s="22"/>
    </row>
    <row r="74" spans="1:6" customFormat="1" ht="16" x14ac:dyDescent="0.2">
      <c r="A74" s="87"/>
      <c r="B74" s="22"/>
      <c r="C74" s="22"/>
      <c r="D74" s="22"/>
      <c r="E74" s="22"/>
      <c r="F74" s="22"/>
    </row>
    <row r="75" spans="1:6" customFormat="1" ht="16" x14ac:dyDescent="0.2">
      <c r="A75" s="87"/>
      <c r="B75" s="22"/>
      <c r="C75" s="22"/>
      <c r="D75" s="22"/>
      <c r="E75" s="22"/>
      <c r="F75" s="22"/>
    </row>
    <row r="76" spans="1:6" customFormat="1" ht="16" x14ac:dyDescent="0.2">
      <c r="A76" s="87"/>
      <c r="B76" s="22"/>
      <c r="C76" s="22"/>
      <c r="D76" s="22"/>
      <c r="E76" s="22"/>
      <c r="F76" s="22"/>
    </row>
    <row r="77" spans="1:6" customFormat="1" ht="16" x14ac:dyDescent="0.2">
      <c r="A77" s="87"/>
      <c r="B77" s="22"/>
      <c r="C77" s="22"/>
      <c r="D77" s="22"/>
      <c r="E77" s="22"/>
      <c r="F77" s="22"/>
    </row>
    <row r="78" spans="1:6" customFormat="1" ht="16" x14ac:dyDescent="0.2">
      <c r="A78" s="87"/>
      <c r="B78" s="22"/>
      <c r="C78" s="22"/>
      <c r="D78" s="22"/>
      <c r="E78" s="22"/>
      <c r="F78" s="22"/>
    </row>
    <row r="79" spans="1:6" customFormat="1" ht="16" x14ac:dyDescent="0.2">
      <c r="A79" s="87"/>
      <c r="B79" s="22"/>
      <c r="C79" s="22"/>
      <c r="D79" s="22"/>
      <c r="E79" s="22"/>
      <c r="F79" s="22"/>
    </row>
    <row r="80" spans="1:6" customFormat="1" ht="16" x14ac:dyDescent="0.2">
      <c r="A80" s="87"/>
      <c r="B80" s="22"/>
      <c r="C80" s="22"/>
      <c r="D80" s="22"/>
      <c r="E80" s="22"/>
      <c r="F80" s="22"/>
    </row>
    <row r="81" spans="1:6" customFormat="1" ht="16" x14ac:dyDescent="0.2">
      <c r="A81" s="87"/>
      <c r="B81" s="22"/>
      <c r="C81" s="22"/>
      <c r="D81" s="22"/>
      <c r="E81" s="22"/>
      <c r="F81" s="22"/>
    </row>
    <row r="82" spans="1:6" customFormat="1" ht="16" x14ac:dyDescent="0.2">
      <c r="A82" s="87"/>
      <c r="B82" s="22"/>
      <c r="C82" s="22"/>
      <c r="D82" s="22"/>
      <c r="E82" s="22"/>
      <c r="F82" s="22"/>
    </row>
    <row r="83" spans="1:6" customFormat="1" ht="16" x14ac:dyDescent="0.2">
      <c r="A83" s="87"/>
      <c r="B83" s="22"/>
      <c r="C83" s="22"/>
      <c r="D83" s="22"/>
      <c r="E83" s="22"/>
      <c r="F83" s="22"/>
    </row>
    <row r="84" spans="1:6" customFormat="1" ht="16" x14ac:dyDescent="0.2">
      <c r="A84" s="87"/>
      <c r="B84" s="22"/>
      <c r="C84" s="22"/>
      <c r="D84" s="22"/>
      <c r="E84" s="22"/>
      <c r="F84" s="22"/>
    </row>
    <row r="85" spans="1:6" customFormat="1" ht="16" x14ac:dyDescent="0.2">
      <c r="A85" s="87"/>
      <c r="B85" s="22"/>
      <c r="C85" s="22"/>
      <c r="D85" s="22"/>
      <c r="E85" s="22"/>
      <c r="F85" s="22"/>
    </row>
    <row r="86" spans="1:6" customFormat="1" ht="16" x14ac:dyDescent="0.2">
      <c r="A86" s="87"/>
      <c r="B86" s="22"/>
      <c r="C86" s="22"/>
      <c r="D86" s="22"/>
      <c r="E86" s="22"/>
      <c r="F86" s="22"/>
    </row>
    <row r="87" spans="1:6" customFormat="1" ht="16" x14ac:dyDescent="0.2">
      <c r="A87" s="87"/>
      <c r="B87" s="22"/>
      <c r="C87" s="22"/>
      <c r="D87" s="22"/>
      <c r="E87" s="22"/>
      <c r="F87" s="22"/>
    </row>
    <row r="88" spans="1:6" customFormat="1" ht="16" x14ac:dyDescent="0.2">
      <c r="A88" s="87"/>
      <c r="B88" s="22"/>
      <c r="C88" s="22"/>
      <c r="D88" s="22"/>
      <c r="E88" s="22"/>
      <c r="F88" s="22"/>
    </row>
    <row r="89" spans="1:6" customFormat="1" ht="16" x14ac:dyDescent="0.2">
      <c r="A89" s="87"/>
      <c r="B89" s="22"/>
      <c r="C89" s="22"/>
      <c r="D89" s="22"/>
      <c r="E89" s="22"/>
      <c r="F89" s="22"/>
    </row>
    <row r="90" spans="1:6" customFormat="1" ht="16" x14ac:dyDescent="0.2">
      <c r="A90" s="87"/>
      <c r="B90" s="22"/>
      <c r="C90" s="22"/>
      <c r="D90" s="22"/>
      <c r="E90" s="22"/>
      <c r="F90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57" customHeight="1" x14ac:dyDescent="0.2">
      <c r="A19" s="86"/>
      <c r="B19" s="13"/>
      <c r="C19" s="14"/>
      <c r="D19" s="23"/>
      <c r="E19" s="23"/>
    </row>
    <row r="20" spans="1:7" s="21" customFormat="1" ht="57" customHeight="1" x14ac:dyDescent="0.2">
      <c r="A20" s="86"/>
      <c r="B20" s="13"/>
      <c r="C20" s="14"/>
      <c r="D20" s="23"/>
      <c r="E20" s="23"/>
      <c r="F20" s="20"/>
    </row>
    <row r="21" spans="1:7" ht="57" customHeight="1" x14ac:dyDescent="0.2">
      <c r="A21" s="86"/>
      <c r="B21" s="13"/>
      <c r="C21" s="14"/>
      <c r="D21" s="23"/>
      <c r="E21" s="23"/>
      <c r="G21" s="1"/>
    </row>
    <row r="22" spans="1:7" ht="57" customHeight="1" x14ac:dyDescent="0.2">
      <c r="A22" s="86"/>
      <c r="B22" s="13"/>
      <c r="C22" s="14"/>
      <c r="D22" s="23"/>
      <c r="E22" s="23"/>
      <c r="G22" s="1"/>
    </row>
    <row r="23" spans="1:7" ht="57" customHeight="1" x14ac:dyDescent="0.2">
      <c r="A23" s="86"/>
      <c r="B23" s="13"/>
      <c r="C23" s="14"/>
      <c r="D23" s="23"/>
      <c r="E23" s="23"/>
      <c r="G23" s="1"/>
    </row>
    <row r="24" spans="1:7" ht="57" customHeight="1" x14ac:dyDescent="0.2">
      <c r="A24" s="86"/>
      <c r="B24" s="13"/>
      <c r="C24" s="14"/>
      <c r="D24" s="23"/>
      <c r="E24" s="23"/>
      <c r="G24" s="1"/>
    </row>
    <row r="25" spans="1:7" ht="57" customHeight="1" x14ac:dyDescent="0.2">
      <c r="A25" s="86"/>
      <c r="B25" s="13"/>
      <c r="C25" s="14"/>
      <c r="D25" s="23"/>
      <c r="E25" s="23"/>
      <c r="G25" s="1"/>
    </row>
    <row r="26" spans="1:7" ht="57" customHeight="1" x14ac:dyDescent="0.2">
      <c r="A26" s="86"/>
      <c r="B26" s="13"/>
      <c r="C26" s="14"/>
      <c r="D26" s="23"/>
      <c r="E26" s="23"/>
      <c r="G26" s="1"/>
    </row>
    <row r="27" spans="1:7" ht="57" customHeight="1" x14ac:dyDescent="0.2">
      <c r="A27" s="86"/>
      <c r="B27" s="13"/>
      <c r="C27" s="14"/>
      <c r="D27" s="23"/>
      <c r="E27" s="23"/>
      <c r="G27" s="1"/>
    </row>
    <row r="28" spans="1:7" ht="57" customHeight="1" x14ac:dyDescent="0.2">
      <c r="A28" s="86"/>
      <c r="B28" s="13"/>
      <c r="C28" s="14"/>
      <c r="D28" s="23"/>
      <c r="E28" s="23"/>
      <c r="G28" s="1"/>
    </row>
    <row r="29" spans="1:7" ht="57" customHeight="1" x14ac:dyDescent="0.2">
      <c r="A29" s="86"/>
      <c r="B29" s="13"/>
      <c r="C29" s="14"/>
      <c r="D29" s="23"/>
      <c r="E29" s="23"/>
      <c r="G29" s="1"/>
    </row>
    <row r="30" spans="1:7" ht="57" customHeight="1" x14ac:dyDescent="0.2">
      <c r="A30" s="86"/>
      <c r="B30" s="13"/>
      <c r="C30" s="14"/>
      <c r="D30" s="23"/>
      <c r="E30" s="23"/>
      <c r="G30" s="1"/>
    </row>
    <row r="31" spans="1:7" ht="57" customHeight="1" x14ac:dyDescent="0.2">
      <c r="A31" s="86"/>
      <c r="B31" s="13"/>
      <c r="C31" s="14"/>
      <c r="D31" s="23"/>
      <c r="E31" s="23"/>
      <c r="G31" s="1"/>
    </row>
    <row r="32" spans="1:7" ht="57" customHeight="1" x14ac:dyDescent="0.2">
      <c r="A32" s="86"/>
      <c r="B32" s="13"/>
      <c r="C32" s="14"/>
      <c r="D32" s="23"/>
      <c r="E32" s="23"/>
      <c r="G32" s="1"/>
    </row>
    <row r="33" spans="1:6" customFormat="1" ht="57" customHeight="1" x14ac:dyDescent="0.2">
      <c r="A33" s="86"/>
      <c r="B33" s="13"/>
      <c r="C33" s="14"/>
      <c r="D33" s="23"/>
      <c r="E33" s="23"/>
      <c r="F33" s="22"/>
    </row>
    <row r="34" spans="1:6" customFormat="1" ht="57" customHeight="1" x14ac:dyDescent="0.2">
      <c r="A34" s="86"/>
      <c r="B34" s="13"/>
      <c r="C34" s="14"/>
      <c r="D34" s="23"/>
      <c r="E34" s="23"/>
      <c r="F34" s="22"/>
    </row>
    <row r="35" spans="1:6" customFormat="1" ht="57" customHeight="1" x14ac:dyDescent="0.2">
      <c r="A35" s="86"/>
      <c r="B35" s="13"/>
      <c r="C35" s="14"/>
      <c r="D35" s="23"/>
      <c r="E35" s="23"/>
      <c r="F35" s="22"/>
    </row>
    <row r="36" spans="1:6" customFormat="1" ht="57" customHeight="1" x14ac:dyDescent="0.2">
      <c r="A36" s="86"/>
      <c r="B36" s="13"/>
      <c r="C36" s="14"/>
      <c r="D36" s="23"/>
      <c r="E36" s="23"/>
      <c r="F36" s="22"/>
    </row>
    <row r="37" spans="1:6" customFormat="1" ht="57" customHeight="1" x14ac:dyDescent="0.2">
      <c r="A37" s="86"/>
      <c r="B37" s="13"/>
      <c r="C37" s="14"/>
      <c r="D37" s="23"/>
      <c r="E37" s="23"/>
      <c r="F37" s="22"/>
    </row>
    <row r="38" spans="1:6" customFormat="1" ht="57" customHeight="1" x14ac:dyDescent="0.2">
      <c r="A38" s="86"/>
      <c r="B38" s="13"/>
      <c r="C38" s="14"/>
      <c r="D38" s="23"/>
      <c r="E38" s="23"/>
      <c r="F38" s="22"/>
    </row>
    <row r="39" spans="1:6" customFormat="1" ht="57" customHeight="1" x14ac:dyDescent="0.2">
      <c r="A39" s="86"/>
      <c r="B39" s="13"/>
      <c r="C39" s="14"/>
      <c r="D39" s="23"/>
      <c r="E39" s="23"/>
      <c r="F39" s="22"/>
    </row>
    <row r="40" spans="1:6" customFormat="1" ht="57" customHeight="1" x14ac:dyDescent="0.2">
      <c r="A40" s="86"/>
      <c r="B40" s="13"/>
      <c r="C40" s="14"/>
      <c r="D40" s="23"/>
      <c r="E40" s="23"/>
      <c r="F40" s="22"/>
    </row>
    <row r="41" spans="1:6" customFormat="1" ht="57" customHeight="1" x14ac:dyDescent="0.2">
      <c r="A41" s="86"/>
      <c r="B41" s="13"/>
      <c r="C41" s="14"/>
      <c r="D41" s="23"/>
      <c r="E41" s="23"/>
      <c r="F41" s="22"/>
    </row>
    <row r="42" spans="1:6" customFormat="1" ht="57" customHeight="1" x14ac:dyDescent="0.2">
      <c r="A42" s="86"/>
      <c r="B42" s="13"/>
      <c r="C42" s="14"/>
      <c r="D42" s="23"/>
      <c r="E42" s="23"/>
      <c r="F42" s="22"/>
    </row>
    <row r="43" spans="1:6" customFormat="1" ht="57" customHeight="1" x14ac:dyDescent="0.2">
      <c r="A43" s="86"/>
      <c r="B43" s="13"/>
      <c r="C43" s="14"/>
      <c r="D43" s="23"/>
      <c r="E43" s="23"/>
      <c r="F43" s="22"/>
    </row>
    <row r="44" spans="1:6" customFormat="1" ht="57" customHeight="1" x14ac:dyDescent="0.2">
      <c r="A44" s="86"/>
      <c r="B44" s="13"/>
      <c r="C44" s="14"/>
      <c r="D44" s="23"/>
      <c r="E44" s="23"/>
      <c r="F44" s="22"/>
    </row>
    <row r="45" spans="1:6" customFormat="1" ht="57" customHeight="1" x14ac:dyDescent="0.2">
      <c r="A45" s="86"/>
      <c r="B45" s="13"/>
      <c r="C45" s="14"/>
      <c r="D45" s="23"/>
      <c r="E45" s="23"/>
      <c r="F45" s="22"/>
    </row>
    <row r="46" spans="1:6" customFormat="1" ht="57" customHeight="1" x14ac:dyDescent="0.2">
      <c r="A46" s="86"/>
      <c r="B46" s="13"/>
      <c r="C46" s="14"/>
      <c r="D46" s="23"/>
      <c r="E46" s="23"/>
      <c r="F46" s="22"/>
    </row>
    <row r="47" spans="1:6" customFormat="1" ht="57" customHeight="1" x14ac:dyDescent="0.2">
      <c r="A47" s="86"/>
      <c r="B47" s="13"/>
      <c r="C47" s="14"/>
      <c r="D47" s="23"/>
      <c r="E47" s="23"/>
      <c r="F47" s="22"/>
    </row>
    <row r="48" spans="1:6" customFormat="1" ht="57" customHeight="1" x14ac:dyDescent="0.2">
      <c r="A48" s="86"/>
      <c r="B48" s="13"/>
      <c r="C48" s="14"/>
      <c r="D48" s="23"/>
      <c r="E48" s="23"/>
      <c r="F48" s="22"/>
    </row>
    <row r="49" spans="1:6" customFormat="1" ht="57" customHeight="1" x14ac:dyDescent="0.2">
      <c r="A49" s="86"/>
      <c r="B49" s="13"/>
      <c r="C49" s="14"/>
      <c r="D49" s="23"/>
      <c r="E49" s="23"/>
      <c r="F49" s="22"/>
    </row>
    <row r="50" spans="1:6" customFormat="1" ht="57" customHeight="1" x14ac:dyDescent="0.2">
      <c r="A50" s="86"/>
      <c r="B50" s="13"/>
      <c r="C50" s="14"/>
      <c r="D50" s="23"/>
      <c r="E50" s="23"/>
      <c r="F50" s="22"/>
    </row>
    <row r="51" spans="1:6" customFormat="1" ht="57" customHeight="1" x14ac:dyDescent="0.2">
      <c r="A51" s="86"/>
      <c r="B51" s="13"/>
      <c r="C51" s="14"/>
      <c r="D51" s="23"/>
      <c r="E51" s="23"/>
      <c r="F51" s="22"/>
    </row>
    <row r="52" spans="1:6" customFormat="1" ht="57" customHeight="1" x14ac:dyDescent="0.2">
      <c r="A52" s="86"/>
      <c r="B52" s="13"/>
      <c r="C52" s="14"/>
      <c r="D52" s="23"/>
      <c r="E52" s="23"/>
      <c r="F52" s="22"/>
    </row>
    <row r="53" spans="1:6" customFormat="1" ht="57" customHeight="1" x14ac:dyDescent="0.2">
      <c r="A53" s="86"/>
      <c r="B53" s="13"/>
      <c r="C53" s="14"/>
      <c r="D53" s="23"/>
      <c r="E53" s="23"/>
      <c r="F53" s="22"/>
    </row>
    <row r="54" spans="1:6" customFormat="1" ht="57" customHeight="1" x14ac:dyDescent="0.2">
      <c r="A54" s="86"/>
      <c r="B54" s="13"/>
      <c r="C54" s="14"/>
      <c r="D54" s="23"/>
      <c r="E54" s="23"/>
      <c r="F54" s="22"/>
    </row>
    <row r="55" spans="1:6" customFormat="1" ht="57" customHeight="1" x14ac:dyDescent="0.2">
      <c r="A55" s="86"/>
      <c r="B55" s="13"/>
      <c r="C55" s="14"/>
      <c r="D55" s="23"/>
      <c r="E55" s="23"/>
      <c r="F55" s="22"/>
    </row>
    <row r="56" spans="1:6" customFormat="1" ht="57" customHeight="1" x14ac:dyDescent="0.2">
      <c r="A56" s="86"/>
      <c r="B56" s="13"/>
      <c r="C56" s="14"/>
      <c r="D56" s="23"/>
      <c r="E56" s="23"/>
      <c r="F56" s="22"/>
    </row>
    <row r="57" spans="1:6" customFormat="1" ht="57" customHeight="1" x14ac:dyDescent="0.2">
      <c r="A57" s="86"/>
      <c r="B57" s="13"/>
      <c r="C57" s="14"/>
      <c r="D57" s="23"/>
      <c r="E57" s="23"/>
      <c r="F57" s="22"/>
    </row>
    <row r="58" spans="1:6" customFormat="1" ht="57" customHeight="1" x14ac:dyDescent="0.2">
      <c r="A58" s="86"/>
      <c r="B58" s="13"/>
      <c r="C58" s="14"/>
      <c r="D58" s="23"/>
      <c r="E58" s="23"/>
      <c r="F58" s="22"/>
    </row>
    <row r="59" spans="1:6" customFormat="1" ht="57" customHeight="1" x14ac:dyDescent="0.2">
      <c r="A59" s="86"/>
      <c r="B59" s="13"/>
      <c r="C59" s="14"/>
      <c r="D59" s="23"/>
      <c r="E59" s="23"/>
      <c r="F59" s="22"/>
    </row>
    <row r="60" spans="1:6" customFormat="1" ht="57" customHeight="1" x14ac:dyDescent="0.2">
      <c r="A60" s="86"/>
      <c r="B60" s="13"/>
      <c r="C60" s="14"/>
      <c r="D60" s="23"/>
      <c r="E60" s="23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00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8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0.5" customHeight="1" x14ac:dyDescent="0.2">
      <c r="A7" s="86"/>
      <c r="B7" s="13"/>
      <c r="C7" s="14"/>
      <c r="D7" s="23"/>
      <c r="E7" s="23"/>
    </row>
    <row r="8" spans="1:17" s="15" customFormat="1" ht="60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7" customFormat="1" ht="60.5" customHeight="1" x14ac:dyDescent="0.2">
      <c r="A9" s="86"/>
      <c r="B9" s="13"/>
      <c r="C9" s="14"/>
      <c r="D9" s="23"/>
      <c r="E9" s="23"/>
      <c r="F9" s="15"/>
      <c r="G9" s="15"/>
      <c r="H9" s="15"/>
      <c r="I9" s="15"/>
      <c r="J9" s="15"/>
      <c r="K9" s="15"/>
      <c r="M9" s="15"/>
      <c r="N9" s="15"/>
      <c r="O9" s="15"/>
      <c r="P9" s="15"/>
      <c r="Q9" s="15"/>
    </row>
    <row r="10" spans="1:17" s="15" customFormat="1" ht="60.5" customHeight="1" x14ac:dyDescent="0.2">
      <c r="A10" s="86"/>
      <c r="B10" s="13"/>
      <c r="C10" s="14"/>
      <c r="D10" s="23"/>
      <c r="E10" s="23"/>
    </row>
    <row r="11" spans="1:17" s="15" customFormat="1" ht="60.5" customHeight="1" x14ac:dyDescent="0.2">
      <c r="A11" s="86"/>
      <c r="B11" s="13"/>
      <c r="C11" s="14"/>
      <c r="D11" s="23"/>
      <c r="E11" s="23"/>
    </row>
    <row r="12" spans="1:17" s="15" customFormat="1" ht="60.5" customHeight="1" x14ac:dyDescent="0.2">
      <c r="A12" s="86"/>
      <c r="B12" s="13"/>
      <c r="C12" s="14"/>
      <c r="D12" s="23"/>
      <c r="E12" s="23"/>
    </row>
    <row r="13" spans="1:17" s="15" customFormat="1" ht="60.5" customHeight="1" x14ac:dyDescent="0.2">
      <c r="A13" s="86"/>
      <c r="B13" s="13"/>
      <c r="C13" s="14"/>
      <c r="D13" s="23"/>
      <c r="E13" s="23"/>
    </row>
    <row r="14" spans="1:17" s="15" customFormat="1" ht="60.5" customHeight="1" x14ac:dyDescent="0.2">
      <c r="A14" s="86"/>
      <c r="B14" s="13"/>
      <c r="C14" s="14"/>
      <c r="D14" s="23"/>
      <c r="E14" s="23"/>
    </row>
    <row r="15" spans="1:17" s="15" customFormat="1" ht="60.5" customHeight="1" x14ac:dyDescent="0.2">
      <c r="A15" s="86"/>
      <c r="B15" s="13"/>
      <c r="C15" s="14"/>
      <c r="D15" s="23"/>
      <c r="E15" s="23"/>
    </row>
    <row r="16" spans="1:17" s="15" customFormat="1" ht="60.5" customHeight="1" x14ac:dyDescent="0.2">
      <c r="A16" s="86"/>
      <c r="B16" s="13"/>
      <c r="C16" s="14"/>
      <c r="D16" s="23"/>
      <c r="E16" s="23"/>
    </row>
    <row r="17" spans="1:7" s="21" customFormat="1" ht="60.5" customHeight="1" x14ac:dyDescent="0.2">
      <c r="A17" s="86"/>
      <c r="B17" s="13"/>
      <c r="C17" s="14"/>
      <c r="D17" s="23"/>
      <c r="E17" s="23"/>
      <c r="F17" s="20"/>
    </row>
    <row r="18" spans="1:7" ht="60.5" customHeight="1" x14ac:dyDescent="0.25">
      <c r="A18" s="86"/>
      <c r="B18" s="13"/>
      <c r="C18" s="14"/>
      <c r="D18" s="27"/>
      <c r="E18" s="27"/>
      <c r="G18" s="1"/>
    </row>
    <row r="19" spans="1:7" ht="60.5" customHeight="1" x14ac:dyDescent="0.25">
      <c r="A19" s="86"/>
      <c r="B19" s="13"/>
      <c r="C19" s="14"/>
      <c r="D19" s="27"/>
      <c r="E19" s="27"/>
      <c r="G19" s="1"/>
    </row>
    <row r="20" spans="1:7" ht="60.5" customHeight="1" x14ac:dyDescent="0.25">
      <c r="A20" s="86"/>
      <c r="B20" s="13"/>
      <c r="C20" s="14"/>
      <c r="D20" s="27"/>
      <c r="E20" s="27"/>
      <c r="G20" s="1"/>
    </row>
    <row r="21" spans="1:7" ht="60.5" customHeight="1" x14ac:dyDescent="0.25">
      <c r="A21" s="86"/>
      <c r="B21" s="13"/>
      <c r="C21" s="14"/>
      <c r="D21" s="27"/>
      <c r="E21" s="27"/>
      <c r="G21" s="1"/>
    </row>
    <row r="22" spans="1:7" ht="60.5" customHeight="1" x14ac:dyDescent="0.25">
      <c r="A22" s="86"/>
      <c r="B22" s="13"/>
      <c r="C22" s="14"/>
      <c r="D22" s="27"/>
      <c r="E22" s="27"/>
      <c r="G22" s="1"/>
    </row>
    <row r="23" spans="1:7" ht="60.5" customHeight="1" x14ac:dyDescent="0.25">
      <c r="A23" s="86"/>
      <c r="B23" s="13"/>
      <c r="C23" s="14"/>
      <c r="D23" s="27"/>
      <c r="E23" s="27"/>
      <c r="G23" s="1"/>
    </row>
    <row r="24" spans="1:7" ht="60.5" customHeight="1" x14ac:dyDescent="0.25">
      <c r="A24" s="86"/>
      <c r="B24" s="13"/>
      <c r="C24" s="14"/>
      <c r="D24" s="27"/>
      <c r="E24" s="27"/>
      <c r="G24" s="1"/>
    </row>
    <row r="25" spans="1:7" ht="60.5" customHeight="1" x14ac:dyDescent="0.25">
      <c r="A25" s="86"/>
      <c r="B25" s="13"/>
      <c r="C25" s="14"/>
      <c r="D25" s="27"/>
      <c r="E25" s="27"/>
      <c r="G25" s="1"/>
    </row>
    <row r="26" spans="1:7" ht="60.5" customHeight="1" x14ac:dyDescent="0.25">
      <c r="A26" s="86"/>
      <c r="B26" s="13"/>
      <c r="C26" s="14"/>
      <c r="D26" s="27"/>
      <c r="E26" s="27"/>
      <c r="G26" s="1"/>
    </row>
    <row r="27" spans="1:7" ht="60.5" customHeight="1" x14ac:dyDescent="0.25">
      <c r="A27" s="86"/>
      <c r="B27" s="13"/>
      <c r="C27" s="14"/>
      <c r="D27" s="27"/>
      <c r="E27" s="27"/>
      <c r="G27" s="1"/>
    </row>
    <row r="28" spans="1:7" ht="60.5" customHeight="1" x14ac:dyDescent="0.25">
      <c r="A28" s="86"/>
      <c r="B28" s="13"/>
      <c r="C28" s="14"/>
      <c r="D28" s="27"/>
      <c r="E28" s="27"/>
      <c r="G28" s="1"/>
    </row>
    <row r="29" spans="1:7" ht="60.5" customHeight="1" x14ac:dyDescent="0.25">
      <c r="A29" s="86"/>
      <c r="B29" s="13"/>
      <c r="C29" s="14"/>
      <c r="D29" s="27"/>
      <c r="E29" s="27"/>
      <c r="G29" s="1"/>
    </row>
    <row r="30" spans="1:7" ht="60.5" customHeight="1" x14ac:dyDescent="0.25">
      <c r="A30" s="86"/>
      <c r="B30" s="13"/>
      <c r="C30" s="14"/>
      <c r="D30" s="27"/>
      <c r="E30" s="27"/>
      <c r="F30" s="22"/>
    </row>
    <row r="31" spans="1:7" ht="60.5" customHeight="1" x14ac:dyDescent="0.25">
      <c r="A31" s="89"/>
      <c r="B31" s="18"/>
      <c r="C31" s="19"/>
      <c r="D31" s="28"/>
      <c r="E31" s="28"/>
      <c r="F31" s="22"/>
    </row>
    <row r="32" spans="1:7" ht="60.5" customHeight="1" x14ac:dyDescent="0.25">
      <c r="A32" s="89"/>
      <c r="B32" s="18"/>
      <c r="C32" s="19"/>
      <c r="D32" s="28"/>
      <c r="E32" s="28"/>
      <c r="F32" s="22"/>
    </row>
    <row r="33" spans="1:6" ht="60.5" customHeight="1" x14ac:dyDescent="0.25">
      <c r="A33" s="89"/>
      <c r="B33" s="18"/>
      <c r="C33" s="19"/>
      <c r="D33" s="28"/>
      <c r="E33" s="28"/>
      <c r="F33" s="22"/>
    </row>
    <row r="34" spans="1:6" ht="60.5" customHeight="1" x14ac:dyDescent="0.25">
      <c r="A34" s="89"/>
      <c r="B34" s="18"/>
      <c r="C34" s="19"/>
      <c r="D34" s="28"/>
      <c r="E34" s="28"/>
      <c r="F34" s="22"/>
    </row>
    <row r="35" spans="1:6" ht="60.5" customHeight="1" x14ac:dyDescent="0.25">
      <c r="A35" s="89"/>
      <c r="B35" s="18"/>
      <c r="C35" s="19"/>
      <c r="D35" s="28"/>
      <c r="E35" s="28"/>
      <c r="F35" s="22"/>
    </row>
    <row r="36" spans="1:6" ht="60.5" customHeight="1" x14ac:dyDescent="0.25">
      <c r="A36" s="89"/>
      <c r="B36" s="18"/>
      <c r="C36" s="19"/>
      <c r="D36" s="28"/>
      <c r="E36" s="28"/>
      <c r="F36" s="22"/>
    </row>
    <row r="37" spans="1:6" ht="60.5" customHeight="1" x14ac:dyDescent="0.25">
      <c r="A37" s="89"/>
      <c r="B37" s="18"/>
      <c r="C37" s="19"/>
      <c r="D37" s="28"/>
      <c r="E37" s="28"/>
      <c r="F37" s="22"/>
    </row>
    <row r="38" spans="1:6" ht="60.5" customHeight="1" x14ac:dyDescent="0.25">
      <c r="A38" s="89"/>
      <c r="B38" s="18"/>
      <c r="C38" s="19"/>
      <c r="D38" s="28"/>
      <c r="E38" s="28"/>
      <c r="F38" s="22"/>
    </row>
    <row r="39" spans="1:6" ht="60.5" customHeight="1" x14ac:dyDescent="0.25">
      <c r="A39" s="89"/>
      <c r="B39" s="18"/>
      <c r="C39" s="19"/>
      <c r="D39" s="28"/>
      <c r="E39" s="28"/>
      <c r="F39" s="22"/>
    </row>
    <row r="40" spans="1:6" ht="60.5" customHeight="1" x14ac:dyDescent="0.25">
      <c r="A40" s="89"/>
      <c r="B40" s="18"/>
      <c r="C40" s="19"/>
      <c r="D40" s="28"/>
      <c r="E40" s="28"/>
      <c r="F40" s="22"/>
    </row>
    <row r="41" spans="1:6" ht="60.5" customHeight="1" x14ac:dyDescent="0.25">
      <c r="A41" s="89"/>
      <c r="B41" s="18"/>
      <c r="C41" s="19"/>
      <c r="D41" s="28"/>
      <c r="E41" s="28"/>
      <c r="F41" s="22"/>
    </row>
    <row r="42" spans="1:6" ht="60.5" customHeight="1" x14ac:dyDescent="0.25">
      <c r="A42" s="89"/>
      <c r="B42" s="18"/>
      <c r="C42" s="19"/>
      <c r="D42" s="28"/>
      <c r="E42" s="28"/>
      <c r="F42" s="22"/>
    </row>
    <row r="43" spans="1:6" ht="60.5" customHeight="1" x14ac:dyDescent="0.25">
      <c r="A43" s="89"/>
      <c r="B43" s="18"/>
      <c r="C43" s="19"/>
      <c r="D43" s="28"/>
      <c r="E43" s="28"/>
      <c r="F43" s="22"/>
    </row>
    <row r="44" spans="1:6" ht="60.5" customHeight="1" x14ac:dyDescent="0.25">
      <c r="A44" s="89"/>
      <c r="B44" s="18"/>
      <c r="C44" s="19"/>
      <c r="D44" s="28"/>
      <c r="E44" s="28"/>
      <c r="F44" s="22"/>
    </row>
    <row r="45" spans="1:6" ht="60.5" customHeight="1" x14ac:dyDescent="0.25">
      <c r="A45" s="89"/>
      <c r="B45" s="18"/>
      <c r="C45" s="19"/>
      <c r="D45" s="28"/>
      <c r="E45" s="28"/>
      <c r="F45" s="22"/>
    </row>
    <row r="46" spans="1:6" ht="60.5" customHeight="1" x14ac:dyDescent="0.25">
      <c r="A46" s="89"/>
      <c r="B46" s="18"/>
      <c r="C46" s="19"/>
      <c r="D46" s="28"/>
      <c r="E46" s="28"/>
      <c r="F46" s="22"/>
    </row>
    <row r="47" spans="1:6" ht="60.5" customHeight="1" x14ac:dyDescent="0.25">
      <c r="A47" s="89"/>
      <c r="B47" s="18"/>
      <c r="C47" s="19"/>
      <c r="D47" s="28"/>
      <c r="E47" s="28"/>
      <c r="F47" s="22"/>
    </row>
    <row r="48" spans="1:6" ht="60.5" customHeight="1" x14ac:dyDescent="0.25">
      <c r="A48" s="89"/>
      <c r="B48" s="18"/>
      <c r="C48" s="19"/>
      <c r="D48" s="28"/>
      <c r="E48" s="28"/>
      <c r="F48" s="22"/>
    </row>
    <row r="49" spans="1:6" ht="60.5" customHeight="1" x14ac:dyDescent="0.25">
      <c r="A49" s="89"/>
      <c r="B49" s="18"/>
      <c r="C49" s="19"/>
      <c r="D49" s="28"/>
      <c r="E49" s="28"/>
      <c r="F49" s="22"/>
    </row>
    <row r="50" spans="1:6" ht="60.5" customHeight="1" x14ac:dyDescent="0.25">
      <c r="A50" s="89"/>
      <c r="B50" s="18"/>
      <c r="C50" s="19"/>
      <c r="D50" s="28"/>
      <c r="E50" s="28"/>
      <c r="F50" s="22"/>
    </row>
    <row r="51" spans="1:6" ht="60.5" customHeight="1" x14ac:dyDescent="0.25">
      <c r="A51" s="89"/>
      <c r="B51" s="18"/>
      <c r="C51" s="19"/>
      <c r="D51" s="28"/>
      <c r="E51" s="28"/>
      <c r="F51" s="22"/>
    </row>
    <row r="52" spans="1:6" ht="60.5" customHeight="1" x14ac:dyDescent="0.25">
      <c r="A52" s="89"/>
      <c r="B52" s="18"/>
      <c r="C52" s="19"/>
      <c r="D52" s="28"/>
      <c r="E52" s="28"/>
      <c r="F52" s="22"/>
    </row>
    <row r="53" spans="1:6" ht="60.5" customHeight="1" x14ac:dyDescent="0.2">
      <c r="A53" s="87"/>
      <c r="B53" s="22"/>
      <c r="C53" s="22"/>
      <c r="D53" s="22"/>
      <c r="E53" s="22"/>
      <c r="F53" s="22"/>
    </row>
    <row r="54" spans="1:6" ht="60.5" customHeight="1" x14ac:dyDescent="0.2">
      <c r="A54" s="87"/>
      <c r="B54" s="22"/>
      <c r="C54" s="22"/>
      <c r="D54" s="22"/>
      <c r="E54" s="22"/>
      <c r="F54" s="22"/>
    </row>
    <row r="55" spans="1:6" ht="60.5" customHeight="1" x14ac:dyDescent="0.2">
      <c r="A55" s="87"/>
      <c r="B55" s="22"/>
      <c r="C55" s="22"/>
      <c r="D55" s="22"/>
      <c r="E55" s="22"/>
      <c r="F55" s="22"/>
    </row>
    <row r="56" spans="1:6" ht="60.5" customHeight="1" x14ac:dyDescent="0.2">
      <c r="A56" s="87"/>
      <c r="B56" s="22"/>
      <c r="C56" s="22"/>
      <c r="D56" s="22"/>
      <c r="E56" s="22"/>
      <c r="F56" s="22"/>
    </row>
    <row r="57" spans="1:6" ht="60.5" customHeight="1" x14ac:dyDescent="0.2">
      <c r="A57" s="87"/>
      <c r="B57" s="22"/>
      <c r="C57" s="22"/>
      <c r="D57" s="22"/>
      <c r="E57" s="22"/>
      <c r="F57" s="22"/>
    </row>
    <row r="58" spans="1:6" ht="60.5" customHeight="1" x14ac:dyDescent="0.2">
      <c r="A58" s="87"/>
      <c r="B58" s="22"/>
      <c r="C58" s="22"/>
      <c r="D58" s="22"/>
      <c r="E58" s="22"/>
      <c r="F58" s="22"/>
    </row>
    <row r="59" spans="1:6" ht="60.5" customHeight="1" x14ac:dyDescent="0.2">
      <c r="A59" s="87"/>
      <c r="B59" s="22"/>
      <c r="C59" s="22"/>
      <c r="D59" s="22"/>
      <c r="E59" s="22"/>
      <c r="F59" s="22"/>
    </row>
    <row r="60" spans="1:6" ht="60.5" customHeight="1" x14ac:dyDescent="0.2">
      <c r="A60" s="87"/>
      <c r="B60" s="22"/>
      <c r="C60" s="22"/>
      <c r="D60" s="22"/>
      <c r="E60" s="22"/>
      <c r="F60" s="22"/>
    </row>
    <row r="61" spans="1:6" ht="60.5" customHeight="1" x14ac:dyDescent="0.2">
      <c r="A61" s="87"/>
      <c r="B61" s="22"/>
      <c r="C61" s="22"/>
      <c r="D61" s="22"/>
      <c r="E61" s="22"/>
      <c r="F61" s="22"/>
    </row>
    <row r="62" spans="1:6" ht="60.5" customHeight="1" x14ac:dyDescent="0.2">
      <c r="A62" s="87"/>
      <c r="B62" s="22"/>
      <c r="C62" s="22"/>
      <c r="D62" s="22"/>
      <c r="E62" s="22"/>
      <c r="F62" s="22"/>
    </row>
    <row r="63" spans="1:6" ht="60.5" customHeight="1" x14ac:dyDescent="0.2">
      <c r="A63" s="87"/>
      <c r="B63" s="22"/>
      <c r="C63" s="22"/>
      <c r="D63" s="22"/>
      <c r="E63" s="22"/>
      <c r="F63" s="22"/>
    </row>
    <row r="64" spans="1:6" ht="60.5" customHeight="1" x14ac:dyDescent="0.2">
      <c r="A64" s="87"/>
      <c r="B64" s="22"/>
      <c r="C64" s="22"/>
      <c r="D64" s="22"/>
      <c r="E64" s="22"/>
      <c r="F64" s="22"/>
    </row>
    <row r="65" spans="1:6" ht="60.5" customHeight="1" x14ac:dyDescent="0.2">
      <c r="A65" s="87"/>
      <c r="B65" s="22"/>
      <c r="C65" s="22"/>
      <c r="D65" s="22"/>
      <c r="E65" s="22"/>
      <c r="F65" s="22"/>
    </row>
    <row r="66" spans="1:6" ht="60.5" customHeight="1" x14ac:dyDescent="0.2">
      <c r="A66" s="87"/>
      <c r="B66" s="22"/>
      <c r="C66" s="22"/>
      <c r="D66" s="22"/>
      <c r="E66" s="22"/>
      <c r="F66" s="22"/>
    </row>
    <row r="67" spans="1:6" ht="60.5" customHeight="1" x14ac:dyDescent="0.2">
      <c r="A67" s="87"/>
      <c r="B67" s="22"/>
      <c r="C67" s="22"/>
      <c r="D67" s="22"/>
      <c r="E67" s="22"/>
      <c r="F67" s="22"/>
    </row>
    <row r="68" spans="1:6" ht="60.5" customHeight="1" x14ac:dyDescent="0.2">
      <c r="A68" s="87"/>
      <c r="B68" s="22"/>
      <c r="C68" s="22"/>
      <c r="D68" s="22"/>
      <c r="E68" s="22"/>
      <c r="F68" s="22"/>
    </row>
    <row r="69" spans="1:6" ht="60.5" customHeight="1" x14ac:dyDescent="0.2">
      <c r="A69" s="87"/>
      <c r="B69" s="22"/>
      <c r="C69" s="22"/>
      <c r="D69" s="22"/>
      <c r="E69" s="22"/>
      <c r="F69" s="22"/>
    </row>
    <row r="70" spans="1:6" ht="60.5" customHeight="1" x14ac:dyDescent="0.2">
      <c r="A70" s="87"/>
      <c r="B70" s="22"/>
      <c r="C70" s="22"/>
      <c r="D70" s="22"/>
      <c r="E70" s="22"/>
      <c r="F70" s="22"/>
    </row>
    <row r="71" spans="1:6" ht="60.5" customHeight="1" x14ac:dyDescent="0.2">
      <c r="A71" s="87"/>
      <c r="B71" s="22"/>
      <c r="C71" s="22"/>
      <c r="D71" s="22"/>
      <c r="E71" s="22"/>
      <c r="F71" s="22"/>
    </row>
    <row r="72" spans="1:6" ht="60.5" customHeight="1" x14ac:dyDescent="0.2">
      <c r="A72" s="87"/>
      <c r="B72" s="22"/>
      <c r="C72" s="22"/>
      <c r="D72" s="22"/>
      <c r="E72" s="22"/>
      <c r="F72" s="22"/>
    </row>
    <row r="73" spans="1:6" ht="60.5" customHeight="1" x14ac:dyDescent="0.2">
      <c r="A73" s="87"/>
      <c r="B73" s="22"/>
      <c r="C73" s="22"/>
      <c r="D73" s="22"/>
      <c r="E73" s="22"/>
      <c r="F73" s="22"/>
    </row>
    <row r="74" spans="1:6" ht="60.5" customHeight="1" x14ac:dyDescent="0.2">
      <c r="A74" s="87"/>
      <c r="B74" s="22"/>
      <c r="C74" s="22"/>
      <c r="D74" s="22"/>
      <c r="E74" s="22"/>
      <c r="F74" s="22"/>
    </row>
    <row r="75" spans="1:6" ht="60.5" customHeight="1" x14ac:dyDescent="0.2">
      <c r="A75" s="87"/>
      <c r="B75" s="22"/>
      <c r="C75" s="22"/>
      <c r="D75" s="22"/>
      <c r="E75" s="22"/>
      <c r="F75" s="22"/>
    </row>
    <row r="76" spans="1:6" ht="60.5" customHeight="1" x14ac:dyDescent="0.2">
      <c r="A76" s="87"/>
      <c r="B76" s="22"/>
      <c r="C76" s="22"/>
      <c r="D76" s="22"/>
      <c r="E76" s="22"/>
      <c r="F76" s="22"/>
    </row>
    <row r="77" spans="1:6" ht="60.5" customHeight="1" x14ac:dyDescent="0.2">
      <c r="A77" s="87"/>
      <c r="B77" s="22"/>
      <c r="C77" s="22"/>
      <c r="D77" s="22"/>
      <c r="E77" s="22"/>
      <c r="F77" s="22"/>
    </row>
    <row r="78" spans="1:6" ht="60.5" customHeight="1" x14ac:dyDescent="0.2">
      <c r="A78" s="87"/>
      <c r="B78" s="22"/>
      <c r="C78" s="22"/>
      <c r="D78" s="22"/>
      <c r="E78" s="22"/>
      <c r="F78" s="22"/>
    </row>
    <row r="79" spans="1:6" ht="60.5" customHeight="1" x14ac:dyDescent="0.2">
      <c r="A79" s="87"/>
      <c r="B79" s="22"/>
      <c r="C79" s="22"/>
      <c r="D79" s="22"/>
      <c r="E79" s="22"/>
      <c r="F79" s="22"/>
    </row>
    <row r="80" spans="1:6" ht="60.5" customHeight="1" x14ac:dyDescent="0.2">
      <c r="A80" s="87"/>
      <c r="B80" s="22"/>
      <c r="C80" s="22"/>
      <c r="D80" s="22"/>
      <c r="E80" s="22"/>
      <c r="F80" s="22"/>
    </row>
    <row r="81" spans="1:6" ht="60.5" customHeight="1" x14ac:dyDescent="0.2">
      <c r="A81" s="87"/>
      <c r="B81" s="22"/>
      <c r="C81" s="22"/>
      <c r="D81" s="22"/>
      <c r="E81" s="22"/>
      <c r="F81" s="22"/>
    </row>
    <row r="82" spans="1:6" ht="60.5" customHeight="1" x14ac:dyDescent="0.2">
      <c r="A82" s="87"/>
      <c r="B82" s="22"/>
      <c r="C82" s="22"/>
      <c r="D82" s="22"/>
      <c r="E82" s="22"/>
      <c r="F82" s="22"/>
    </row>
    <row r="83" spans="1:6" ht="60.5" customHeight="1" x14ac:dyDescent="0.2">
      <c r="A83" s="87"/>
      <c r="B83" s="22"/>
      <c r="C83" s="22"/>
      <c r="D83" s="22"/>
      <c r="E83" s="22"/>
      <c r="F83" s="22"/>
    </row>
    <row r="84" spans="1:6" ht="60.5" customHeight="1" x14ac:dyDescent="0.2">
      <c r="A84" s="87"/>
      <c r="B84" s="22"/>
      <c r="C84" s="22"/>
      <c r="D84" s="22"/>
      <c r="E84" s="22"/>
      <c r="F84" s="22"/>
    </row>
    <row r="85" spans="1:6" ht="60.5" customHeight="1" x14ac:dyDescent="0.2">
      <c r="A85" s="87"/>
      <c r="B85" s="22"/>
      <c r="C85" s="22"/>
      <c r="D85" s="22"/>
      <c r="E85" s="22"/>
      <c r="F85" s="22"/>
    </row>
    <row r="86" spans="1:6" ht="60.5" customHeight="1" x14ac:dyDescent="0.2">
      <c r="A86" s="87"/>
      <c r="B86" s="22"/>
      <c r="C86" s="22"/>
      <c r="D86" s="22"/>
      <c r="E86" s="22"/>
      <c r="F86" s="22"/>
    </row>
    <row r="87" spans="1:6" ht="60.5" customHeight="1" x14ac:dyDescent="0.2"/>
    <row r="88" spans="1:6" ht="60.5" customHeight="1" x14ac:dyDescent="0.2"/>
    <row r="89" spans="1:6" ht="60.5" customHeight="1" x14ac:dyDescent="0.2"/>
    <row r="90" spans="1:6" ht="60.5" customHeight="1" x14ac:dyDescent="0.2"/>
    <row r="91" spans="1:6" ht="60.5" customHeight="1" x14ac:dyDescent="0.2"/>
    <row r="92" spans="1:6" ht="60.5" customHeight="1" x14ac:dyDescent="0.2"/>
    <row r="93" spans="1:6" ht="60.5" customHeight="1" x14ac:dyDescent="0.2"/>
    <row r="94" spans="1:6" ht="60.5" customHeight="1" x14ac:dyDescent="0.2"/>
    <row r="95" spans="1:6" ht="60.5" customHeight="1" x14ac:dyDescent="0.2"/>
    <row r="96" spans="1:6" ht="60.5" customHeight="1" x14ac:dyDescent="0.2"/>
    <row r="97" ht="60.5" customHeight="1" x14ac:dyDescent="0.2"/>
    <row r="98" ht="60.5" customHeight="1" x14ac:dyDescent="0.2"/>
    <row r="99" ht="60.5" customHeight="1" x14ac:dyDescent="0.2"/>
    <row r="100" ht="60.5" customHeight="1" x14ac:dyDescent="0.2"/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5">
      <c r="A18" s="89"/>
      <c r="B18" s="18"/>
      <c r="C18" s="19"/>
      <c r="D18" s="28"/>
      <c r="E18" s="28"/>
    </row>
    <row r="19" spans="1:7" s="15" customFormat="1" ht="64.5" customHeight="1" x14ac:dyDescent="0.25">
      <c r="A19" s="89"/>
      <c r="B19" s="18"/>
      <c r="C19" s="19"/>
      <c r="D19" s="28"/>
      <c r="E19" s="28"/>
    </row>
    <row r="20" spans="1:7" s="21" customFormat="1" ht="64.5" customHeight="1" x14ac:dyDescent="0.25">
      <c r="A20" s="89"/>
      <c r="B20" s="18"/>
      <c r="C20" s="19"/>
      <c r="D20" s="28"/>
      <c r="E20" s="28"/>
      <c r="F20" s="20"/>
    </row>
    <row r="21" spans="1:7" ht="64.5" customHeight="1" x14ac:dyDescent="0.25">
      <c r="A21" s="89"/>
      <c r="B21" s="18"/>
      <c r="C21" s="19"/>
      <c r="D21" s="28"/>
      <c r="E21" s="28"/>
      <c r="G21" s="1"/>
    </row>
    <row r="22" spans="1:7" ht="64.5" customHeight="1" x14ac:dyDescent="0.25">
      <c r="A22" s="89"/>
      <c r="B22" s="18"/>
      <c r="C22" s="19"/>
      <c r="D22" s="28"/>
      <c r="E22" s="28"/>
      <c r="G22" s="1"/>
    </row>
    <row r="23" spans="1:7" ht="64.5" customHeight="1" x14ac:dyDescent="0.25">
      <c r="A23" s="89"/>
      <c r="B23" s="18"/>
      <c r="C23" s="19"/>
      <c r="D23" s="28"/>
      <c r="E23" s="28"/>
      <c r="G23" s="1"/>
    </row>
    <row r="24" spans="1:7" ht="64.5" customHeight="1" x14ac:dyDescent="0.25">
      <c r="A24" s="89"/>
      <c r="B24" s="18"/>
      <c r="C24" s="19"/>
      <c r="D24" s="28"/>
      <c r="E24" s="28"/>
      <c r="G24" s="1"/>
    </row>
    <row r="25" spans="1:7" ht="64.5" customHeight="1" x14ac:dyDescent="0.25">
      <c r="A25" s="89"/>
      <c r="B25" s="18"/>
      <c r="C25" s="19"/>
      <c r="D25" s="28"/>
      <c r="E25" s="28"/>
      <c r="G25" s="1"/>
    </row>
    <row r="26" spans="1:7" ht="64.5" customHeight="1" x14ac:dyDescent="0.2">
      <c r="A26" s="87"/>
      <c r="B26" s="22"/>
      <c r="C26" s="22"/>
      <c r="D26" s="22"/>
      <c r="E26" s="22"/>
      <c r="G26" s="1"/>
    </row>
    <row r="27" spans="1:7" ht="64.5" customHeight="1" x14ac:dyDescent="0.2">
      <c r="A27" s="87"/>
      <c r="B27" s="22"/>
      <c r="C27" s="22"/>
      <c r="D27" s="22"/>
      <c r="E27" s="22"/>
      <c r="G27" s="1"/>
    </row>
    <row r="28" spans="1:7" ht="64.5" customHeight="1" x14ac:dyDescent="0.2">
      <c r="A28" s="87"/>
      <c r="B28" s="22"/>
      <c r="C28" s="22"/>
      <c r="D28" s="22"/>
      <c r="E28" s="22"/>
      <c r="G28" s="1"/>
    </row>
    <row r="29" spans="1:7" ht="16" x14ac:dyDescent="0.2">
      <c r="A29" s="87"/>
      <c r="B29" s="22"/>
      <c r="C29" s="22"/>
      <c r="D29" s="22"/>
      <c r="E29" s="22"/>
      <c r="G29" s="1"/>
    </row>
    <row r="30" spans="1:7" ht="16" x14ac:dyDescent="0.2">
      <c r="A30" s="87"/>
      <c r="B30" s="22"/>
      <c r="C30" s="22"/>
      <c r="D30" s="22"/>
      <c r="E30" s="22"/>
      <c r="G30" s="1"/>
    </row>
    <row r="31" spans="1:7" ht="16" x14ac:dyDescent="0.2">
      <c r="A31" s="87"/>
      <c r="B31" s="22"/>
      <c r="C31" s="22"/>
      <c r="D31" s="22"/>
      <c r="E31" s="22"/>
      <c r="G31" s="1"/>
    </row>
    <row r="32" spans="1:7" ht="16" x14ac:dyDescent="0.2">
      <c r="A32" s="87"/>
      <c r="B32" s="22"/>
      <c r="C32" s="22"/>
      <c r="D32" s="22"/>
      <c r="E32" s="22"/>
      <c r="G32" s="1"/>
    </row>
    <row r="33" spans="1:6" customFormat="1" ht="16" x14ac:dyDescent="0.2">
      <c r="A33" s="87"/>
      <c r="B33" s="22"/>
      <c r="C33" s="22"/>
      <c r="D33" s="22"/>
      <c r="E33" s="22"/>
      <c r="F33" s="22"/>
    </row>
    <row r="34" spans="1:6" customFormat="1" ht="16" x14ac:dyDescent="0.2">
      <c r="A34" s="87"/>
      <c r="B34" s="22"/>
      <c r="C34" s="22"/>
      <c r="D34" s="22"/>
      <c r="E34" s="22"/>
      <c r="F34" s="22"/>
    </row>
    <row r="35" spans="1:6" customFormat="1" ht="16" x14ac:dyDescent="0.2">
      <c r="A35" s="87"/>
      <c r="B35" s="22"/>
      <c r="C35" s="22"/>
      <c r="D35" s="22"/>
      <c r="E35" s="22"/>
      <c r="F35" s="22"/>
    </row>
    <row r="36" spans="1:6" customFormat="1" ht="16" x14ac:dyDescent="0.2">
      <c r="A36" s="87"/>
      <c r="B36" s="22"/>
      <c r="C36" s="22"/>
      <c r="D36" s="22"/>
      <c r="E36" s="22"/>
      <c r="F36" s="22"/>
    </row>
    <row r="37" spans="1:6" customFormat="1" ht="16" x14ac:dyDescent="0.2">
      <c r="A37" s="87"/>
      <c r="B37" s="22"/>
      <c r="C37" s="22"/>
      <c r="D37" s="22"/>
      <c r="E37" s="22"/>
      <c r="F37" s="22"/>
    </row>
    <row r="38" spans="1:6" customFormat="1" ht="16" x14ac:dyDescent="0.2">
      <c r="A38" s="87"/>
      <c r="B38" s="22"/>
      <c r="C38" s="22"/>
      <c r="D38" s="22"/>
      <c r="E38" s="22"/>
      <c r="F38" s="22"/>
    </row>
    <row r="39" spans="1:6" customFormat="1" ht="16" x14ac:dyDescent="0.2">
      <c r="A39" s="87"/>
      <c r="B39" s="22"/>
      <c r="C39" s="22"/>
      <c r="D39" s="22"/>
      <c r="E39" s="22"/>
      <c r="F39" s="22"/>
    </row>
    <row r="40" spans="1:6" customFormat="1" ht="16" x14ac:dyDescent="0.2">
      <c r="A40" s="87"/>
      <c r="B40" s="22"/>
      <c r="C40" s="22"/>
      <c r="D40" s="22"/>
      <c r="E40" s="22"/>
      <c r="F40" s="22"/>
    </row>
    <row r="41" spans="1:6" customFormat="1" ht="16" x14ac:dyDescent="0.2">
      <c r="A41" s="87"/>
      <c r="B41" s="22"/>
      <c r="C41" s="22"/>
      <c r="D41" s="22"/>
      <c r="E41" s="22"/>
      <c r="F41" s="22"/>
    </row>
    <row r="42" spans="1:6" customFormat="1" ht="16" x14ac:dyDescent="0.2">
      <c r="A42" s="87"/>
      <c r="B42" s="22"/>
      <c r="C42" s="22"/>
      <c r="D42" s="22"/>
      <c r="E42" s="22"/>
      <c r="F42" s="22"/>
    </row>
    <row r="43" spans="1:6" customFormat="1" ht="16" x14ac:dyDescent="0.2">
      <c r="A43" s="87"/>
      <c r="B43" s="22"/>
      <c r="C43" s="22"/>
      <c r="D43" s="22"/>
      <c r="E43" s="22"/>
      <c r="F43" s="22"/>
    </row>
    <row r="44" spans="1:6" customFormat="1" ht="16" x14ac:dyDescent="0.2">
      <c r="A44" s="87"/>
      <c r="B44" s="22"/>
      <c r="C44" s="22"/>
      <c r="D44" s="22"/>
      <c r="E44" s="22"/>
      <c r="F44" s="22"/>
    </row>
    <row r="45" spans="1:6" customFormat="1" ht="16" x14ac:dyDescent="0.2">
      <c r="A45" s="87"/>
      <c r="B45" s="22"/>
      <c r="C45" s="22"/>
      <c r="D45" s="22"/>
      <c r="E45" s="22"/>
      <c r="F45" s="22"/>
    </row>
    <row r="46" spans="1:6" customFormat="1" ht="16" x14ac:dyDescent="0.2">
      <c r="A46" s="87"/>
      <c r="B46" s="22"/>
      <c r="C46" s="22"/>
      <c r="D46" s="22"/>
      <c r="E46" s="22"/>
      <c r="F46" s="22"/>
    </row>
    <row r="47" spans="1:6" customFormat="1" ht="16" x14ac:dyDescent="0.2">
      <c r="A47" s="87"/>
      <c r="B47" s="22"/>
      <c r="C47" s="22"/>
      <c r="D47" s="22"/>
      <c r="E47" s="22"/>
      <c r="F47" s="22"/>
    </row>
    <row r="48" spans="1:6" customFormat="1" ht="16" x14ac:dyDescent="0.2">
      <c r="A48" s="87"/>
      <c r="B48" s="22"/>
      <c r="C48" s="22"/>
      <c r="D48" s="22"/>
      <c r="E48" s="22"/>
      <c r="F48" s="22"/>
    </row>
    <row r="49" spans="1:6" customFormat="1" ht="16" x14ac:dyDescent="0.2">
      <c r="A49" s="87"/>
      <c r="B49" s="22"/>
      <c r="C49" s="22"/>
      <c r="D49" s="22"/>
      <c r="E49" s="22"/>
      <c r="F49" s="22"/>
    </row>
    <row r="50" spans="1:6" customFormat="1" ht="16" x14ac:dyDescent="0.2">
      <c r="A50" s="87"/>
      <c r="B50" s="22"/>
      <c r="C50" s="22"/>
      <c r="D50" s="22"/>
      <c r="E50" s="22"/>
      <c r="F50" s="22"/>
    </row>
    <row r="51" spans="1:6" customFormat="1" ht="16" x14ac:dyDescent="0.2">
      <c r="A51" s="87"/>
      <c r="B51" s="22"/>
      <c r="C51" s="22"/>
      <c r="D51" s="22"/>
      <c r="E51" s="22"/>
      <c r="F51" s="22"/>
    </row>
    <row r="52" spans="1:6" customFormat="1" ht="16" x14ac:dyDescent="0.2">
      <c r="A52" s="87"/>
      <c r="B52" s="22"/>
      <c r="C52" s="22"/>
      <c r="D52" s="22"/>
      <c r="E52" s="22"/>
      <c r="F52" s="22"/>
    </row>
    <row r="53" spans="1:6" customFormat="1" ht="16" x14ac:dyDescent="0.2">
      <c r="A53" s="87"/>
      <c r="B53" s="22"/>
      <c r="C53" s="22"/>
      <c r="D53" s="22"/>
      <c r="E53" s="22"/>
      <c r="F53" s="22"/>
    </row>
    <row r="54" spans="1:6" customFormat="1" ht="16" x14ac:dyDescent="0.2">
      <c r="A54" s="87"/>
      <c r="B54" s="22"/>
      <c r="C54" s="22"/>
      <c r="D54" s="22"/>
      <c r="E54" s="22"/>
      <c r="F54" s="22"/>
    </row>
    <row r="55" spans="1:6" customFormat="1" ht="16" x14ac:dyDescent="0.2">
      <c r="A55" s="87"/>
      <c r="B55" s="22"/>
      <c r="C55" s="22"/>
      <c r="D55" s="22"/>
      <c r="E55" s="22"/>
      <c r="F55" s="22"/>
    </row>
    <row r="56" spans="1:6" customFormat="1" ht="16" x14ac:dyDescent="0.2">
      <c r="A56" s="87"/>
      <c r="B56" s="22"/>
      <c r="C56" s="22"/>
      <c r="D56" s="22"/>
      <c r="E56" s="22"/>
      <c r="F56" s="22"/>
    </row>
    <row r="57" spans="1:6" customFormat="1" ht="16" x14ac:dyDescent="0.2">
      <c r="A57" s="87"/>
      <c r="B57" s="22"/>
      <c r="C57" s="22"/>
      <c r="D57" s="22"/>
      <c r="E57" s="22"/>
      <c r="F57" s="22"/>
    </row>
    <row r="58" spans="1:6" customFormat="1" ht="16" x14ac:dyDescent="0.2">
      <c r="A58" s="87"/>
      <c r="B58" s="22"/>
      <c r="C58" s="22"/>
      <c r="D58" s="22"/>
      <c r="E58" s="22"/>
      <c r="F58" s="22"/>
    </row>
    <row r="59" spans="1:6" customFormat="1" ht="16" x14ac:dyDescent="0.2">
      <c r="A59" s="87"/>
      <c r="B59" s="22"/>
      <c r="C59" s="22"/>
      <c r="D59" s="22"/>
      <c r="E59" s="22"/>
      <c r="F59" s="22"/>
    </row>
    <row r="60" spans="1:6" customFormat="1" ht="16" x14ac:dyDescent="0.2">
      <c r="A60" s="87"/>
      <c r="B60" s="22"/>
      <c r="C60" s="22"/>
      <c r="D60" s="22"/>
      <c r="E60" s="22"/>
      <c r="F60" s="22"/>
    </row>
    <row r="61" spans="1:6" customFormat="1" ht="16" x14ac:dyDescent="0.2">
      <c r="A61" s="87"/>
      <c r="B61" s="22"/>
      <c r="C61" s="22"/>
      <c r="D61" s="22"/>
      <c r="E61" s="22"/>
      <c r="F61" s="22"/>
    </row>
    <row r="62" spans="1:6" customFormat="1" ht="16" x14ac:dyDescent="0.2">
      <c r="A62" s="87"/>
      <c r="B62" s="22"/>
      <c r="C62" s="22"/>
      <c r="D62" s="22"/>
      <c r="E62" s="22"/>
      <c r="F62" s="22"/>
    </row>
    <row r="63" spans="1:6" customFormat="1" ht="16" x14ac:dyDescent="0.2">
      <c r="A63" s="87"/>
      <c r="B63" s="22"/>
      <c r="C63" s="22"/>
      <c r="D63" s="22"/>
      <c r="E63" s="22"/>
      <c r="F63" s="22"/>
    </row>
    <row r="64" spans="1:6" customFormat="1" ht="16" x14ac:dyDescent="0.2">
      <c r="A64" s="87"/>
      <c r="B64" s="22"/>
      <c r="C64" s="22"/>
      <c r="D64" s="22"/>
      <c r="E64" s="22"/>
      <c r="F64" s="22"/>
    </row>
    <row r="65" spans="1:6" customFormat="1" ht="16" x14ac:dyDescent="0.2">
      <c r="A65" s="87"/>
      <c r="B65" s="22"/>
      <c r="C65" s="22"/>
      <c r="D65" s="22"/>
      <c r="E65" s="22"/>
      <c r="F65" s="22"/>
    </row>
    <row r="66" spans="1:6" customFormat="1" ht="16" x14ac:dyDescent="0.2">
      <c r="A66" s="87"/>
      <c r="B66" s="22"/>
      <c r="C66" s="22"/>
      <c r="D66" s="22"/>
      <c r="E66" s="22"/>
      <c r="F66" s="22"/>
    </row>
    <row r="67" spans="1:6" customFormat="1" ht="16" x14ac:dyDescent="0.2">
      <c r="A67" s="87"/>
      <c r="B67" s="22"/>
      <c r="C67" s="22"/>
      <c r="D67" s="22"/>
      <c r="E67" s="22"/>
      <c r="F67" s="22"/>
    </row>
    <row r="68" spans="1:6" customFormat="1" ht="16" x14ac:dyDescent="0.2">
      <c r="A68" s="87"/>
      <c r="B68" s="22"/>
      <c r="C68" s="22"/>
      <c r="D68" s="22"/>
      <c r="E68" s="22"/>
      <c r="F68" s="22"/>
    </row>
    <row r="69" spans="1:6" customFormat="1" ht="16" x14ac:dyDescent="0.2">
      <c r="A69" s="87"/>
      <c r="B69" s="22"/>
      <c r="C69" s="22"/>
      <c r="D69" s="22"/>
      <c r="E69" s="22"/>
      <c r="F69" s="22"/>
    </row>
    <row r="70" spans="1:6" customFormat="1" ht="16" x14ac:dyDescent="0.2">
      <c r="A70" s="87"/>
      <c r="B70" s="22"/>
      <c r="C70" s="22"/>
      <c r="D70" s="22"/>
      <c r="E70" s="22"/>
      <c r="F70" s="22"/>
    </row>
    <row r="71" spans="1:6" customFormat="1" ht="16" x14ac:dyDescent="0.2">
      <c r="A71" s="87"/>
      <c r="B71" s="22"/>
      <c r="C71" s="22"/>
      <c r="D71" s="22"/>
      <c r="E71" s="22"/>
      <c r="F71" s="22"/>
    </row>
    <row r="72" spans="1:6" customFormat="1" ht="16" x14ac:dyDescent="0.2">
      <c r="A72" s="87"/>
      <c r="B72" s="22"/>
      <c r="C72" s="22"/>
      <c r="D72" s="22"/>
      <c r="E72" s="22"/>
      <c r="F72" s="22"/>
    </row>
    <row r="73" spans="1:6" customFormat="1" ht="16" x14ac:dyDescent="0.2">
      <c r="A73" s="87"/>
      <c r="B73" s="22"/>
      <c r="C73" s="22"/>
      <c r="D73" s="22"/>
      <c r="E73" s="22"/>
      <c r="F73" s="22"/>
    </row>
    <row r="74" spans="1:6" customFormat="1" ht="16" x14ac:dyDescent="0.2">
      <c r="A74" s="87"/>
      <c r="B74" s="22"/>
      <c r="C74" s="22"/>
      <c r="D74" s="22"/>
      <c r="E74" s="22"/>
      <c r="F74" s="22"/>
    </row>
    <row r="75" spans="1:6" customFormat="1" ht="16" x14ac:dyDescent="0.2">
      <c r="A75" s="87"/>
      <c r="B75" s="22"/>
      <c r="C75" s="22"/>
      <c r="D75" s="22"/>
      <c r="E75" s="22"/>
      <c r="F75" s="22"/>
    </row>
    <row r="76" spans="1:6" customFormat="1" ht="16" x14ac:dyDescent="0.2">
      <c r="A76" s="87"/>
      <c r="B76" s="22"/>
      <c r="C76" s="22"/>
      <c r="D76" s="22"/>
      <c r="E76" s="22"/>
      <c r="F76" s="22"/>
    </row>
    <row r="77" spans="1:6" customFormat="1" ht="16" x14ac:dyDescent="0.2">
      <c r="A77" s="87"/>
      <c r="B77" s="22"/>
      <c r="C77" s="22"/>
      <c r="D77" s="22"/>
      <c r="E77" s="22"/>
      <c r="F77" s="22"/>
    </row>
    <row r="78" spans="1:6" customFormat="1" ht="16" x14ac:dyDescent="0.2">
      <c r="A78" s="87"/>
      <c r="B78" s="22"/>
      <c r="C78" s="22"/>
      <c r="D78" s="22"/>
      <c r="E78" s="22"/>
      <c r="F78" s="22"/>
    </row>
    <row r="79" spans="1:6" customFormat="1" ht="16" x14ac:dyDescent="0.2">
      <c r="A79" s="87"/>
      <c r="B79" s="22"/>
      <c r="C79" s="22"/>
      <c r="D79" s="22"/>
      <c r="E79" s="22"/>
      <c r="F79" s="22"/>
    </row>
    <row r="80" spans="1:6" customFormat="1" ht="16" x14ac:dyDescent="0.2">
      <c r="A80" s="87"/>
      <c r="B80" s="22"/>
      <c r="C80" s="22"/>
      <c r="D80" s="22"/>
      <c r="E80" s="22"/>
      <c r="F80" s="22"/>
    </row>
    <row r="81" spans="1:6" customFormat="1" ht="16" x14ac:dyDescent="0.2">
      <c r="A81" s="87"/>
      <c r="B81" s="22"/>
      <c r="C81" s="22"/>
      <c r="D81" s="22"/>
      <c r="E81" s="22"/>
      <c r="F81" s="22"/>
    </row>
    <row r="82" spans="1:6" customFormat="1" ht="16" x14ac:dyDescent="0.2">
      <c r="A82" s="87"/>
      <c r="B82" s="22"/>
      <c r="C82" s="22"/>
      <c r="D82" s="22"/>
      <c r="E82" s="22"/>
      <c r="F82" s="22"/>
    </row>
    <row r="83" spans="1:6" customFormat="1" ht="16" x14ac:dyDescent="0.2">
      <c r="A83" s="87"/>
      <c r="B83" s="22"/>
      <c r="C83" s="22"/>
      <c r="D83" s="22"/>
      <c r="E83" s="22"/>
      <c r="F83" s="22"/>
    </row>
    <row r="84" spans="1:6" customFormat="1" ht="16" x14ac:dyDescent="0.2">
      <c r="A84" s="87"/>
      <c r="B84" s="22"/>
      <c r="C84" s="22"/>
      <c r="D84" s="22"/>
      <c r="E84" s="22"/>
      <c r="F84" s="22"/>
    </row>
    <row r="85" spans="1:6" customFormat="1" ht="16" x14ac:dyDescent="0.2">
      <c r="A85" s="87"/>
      <c r="B85" s="22"/>
      <c r="C85" s="22"/>
      <c r="D85" s="22"/>
      <c r="E85" s="22"/>
      <c r="F85" s="22"/>
    </row>
    <row r="86" spans="1:6" customFormat="1" ht="16" x14ac:dyDescent="0.2">
      <c r="A86" s="87"/>
      <c r="B86" s="22"/>
      <c r="C86" s="22"/>
      <c r="D86" s="22"/>
      <c r="E86" s="22"/>
      <c r="F86" s="22"/>
    </row>
    <row r="87" spans="1:6" customFormat="1" ht="16" x14ac:dyDescent="0.2">
      <c r="A87" s="87"/>
      <c r="B87" s="22"/>
      <c r="C87" s="22"/>
      <c r="D87" s="22"/>
      <c r="E87" s="22"/>
      <c r="F87" s="22"/>
    </row>
    <row r="88" spans="1:6" customFormat="1" ht="16" x14ac:dyDescent="0.2">
      <c r="A88" s="87"/>
      <c r="B88" s="22"/>
      <c r="C88" s="22"/>
      <c r="D88" s="22"/>
      <c r="E88" s="22"/>
      <c r="F88" s="22"/>
    </row>
    <row r="89" spans="1:6" customFormat="1" ht="16" x14ac:dyDescent="0.2">
      <c r="A89" s="87"/>
      <c r="B89" s="22"/>
      <c r="C89" s="22"/>
      <c r="D89" s="22"/>
      <c r="E89" s="22"/>
      <c r="F89" s="22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95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</row>
    <row r="9" spans="1:17" s="15" customFormat="1" ht="64.5" customHeight="1" x14ac:dyDescent="0.2">
      <c r="A9" s="86"/>
      <c r="B9" s="13"/>
      <c r="C9" s="14"/>
      <c r="D9" s="23"/>
      <c r="E9" s="23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</row>
    <row r="10" spans="1:17" s="16" customFormat="1" ht="64.5" customHeight="1" x14ac:dyDescent="0.2">
      <c r="A10" s="86"/>
      <c r="B10" s="13"/>
      <c r="C10" s="14"/>
      <c r="D10" s="23"/>
      <c r="E10" s="23"/>
      <c r="F10" s="17"/>
      <c r="G10" s="17"/>
      <c r="H10" s="17"/>
      <c r="I10" s="17"/>
      <c r="J10" s="17"/>
      <c r="K10" s="17"/>
      <c r="L10" s="15"/>
      <c r="M10" s="17"/>
      <c r="N10" s="17"/>
      <c r="O10" s="17"/>
      <c r="P10" s="17"/>
      <c r="Q10" s="17"/>
    </row>
    <row r="11" spans="1:17" s="16" customFormat="1" ht="64.5" customHeight="1" x14ac:dyDescent="0.2">
      <c r="A11" s="86"/>
      <c r="B11" s="13"/>
      <c r="C11" s="14"/>
      <c r="D11" s="23"/>
      <c r="E11" s="23"/>
      <c r="F11" s="17"/>
      <c r="G11" s="17"/>
      <c r="H11" s="17"/>
      <c r="I11" s="17"/>
      <c r="J11" s="17"/>
      <c r="K11" s="17"/>
      <c r="L11" s="15"/>
      <c r="M11" s="17"/>
      <c r="N11" s="17"/>
      <c r="O11" s="17"/>
      <c r="P11" s="17"/>
      <c r="Q11" s="17"/>
    </row>
    <row r="12" spans="1:17" s="16" customFormat="1" ht="64.5" customHeight="1" x14ac:dyDescent="0.2">
      <c r="A12" s="86"/>
      <c r="B12" s="13"/>
      <c r="C12" s="14"/>
      <c r="D12" s="23"/>
      <c r="E12" s="23"/>
      <c r="F12" s="17"/>
      <c r="G12" s="17"/>
      <c r="H12" s="17"/>
      <c r="I12" s="17"/>
      <c r="J12" s="17"/>
      <c r="K12" s="17"/>
      <c r="L12" s="15"/>
      <c r="M12" s="17"/>
      <c r="N12" s="17"/>
      <c r="O12" s="17"/>
      <c r="P12" s="17"/>
      <c r="Q12" s="17"/>
    </row>
    <row r="13" spans="1:17" s="17" customFormat="1" ht="64.5" customHeight="1" x14ac:dyDescent="0.2">
      <c r="A13" s="86"/>
      <c r="B13" s="13"/>
      <c r="C13" s="14"/>
      <c r="D13" s="23"/>
      <c r="E13" s="23"/>
      <c r="F13" s="15"/>
      <c r="G13" s="15"/>
      <c r="H13" s="15"/>
      <c r="I13" s="15"/>
      <c r="J13" s="15"/>
      <c r="K13" s="15"/>
      <c r="M13" s="15"/>
      <c r="N13" s="15"/>
      <c r="O13" s="15"/>
      <c r="P13" s="15"/>
      <c r="Q13" s="15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64.5" customHeight="1" x14ac:dyDescent="0.2">
      <c r="A19" s="86"/>
      <c r="B19" s="13"/>
      <c r="C19" s="14"/>
      <c r="D19" s="23"/>
      <c r="E19" s="23"/>
    </row>
    <row r="20" spans="1:7" s="15" customFormat="1" ht="64.5" customHeight="1" x14ac:dyDescent="0.2">
      <c r="A20" s="86"/>
      <c r="B20" s="13"/>
      <c r="C20" s="14"/>
      <c r="D20" s="23"/>
      <c r="E20" s="23"/>
    </row>
    <row r="21" spans="1:7" s="15" customFormat="1" ht="64.5" customHeight="1" x14ac:dyDescent="0.2">
      <c r="A21" s="86"/>
      <c r="B21" s="13"/>
      <c r="C21" s="14"/>
      <c r="D21" s="23"/>
      <c r="E21" s="23"/>
    </row>
    <row r="22" spans="1:7" s="15" customFormat="1" ht="64.5" customHeight="1" x14ac:dyDescent="0.2">
      <c r="A22" s="86"/>
      <c r="B22" s="13"/>
      <c r="C22" s="14"/>
      <c r="D22" s="23"/>
      <c r="E22" s="23"/>
    </row>
    <row r="23" spans="1:7" s="15" customFormat="1" ht="64.5" customHeight="1" x14ac:dyDescent="0.2">
      <c r="A23" s="86"/>
      <c r="B23" s="13"/>
      <c r="C23" s="14"/>
      <c r="D23" s="23"/>
      <c r="E23" s="23"/>
    </row>
    <row r="24" spans="1:7" s="15" customFormat="1" ht="64.5" customHeight="1" x14ac:dyDescent="0.2">
      <c r="A24" s="86"/>
      <c r="B24" s="13"/>
      <c r="C24" s="14"/>
      <c r="D24" s="23"/>
      <c r="E24" s="23"/>
    </row>
    <row r="25" spans="1:7" s="15" customFormat="1" ht="64.5" customHeight="1" x14ac:dyDescent="0.2">
      <c r="A25" s="86"/>
      <c r="B25" s="13"/>
      <c r="C25" s="14"/>
      <c r="D25" s="23"/>
      <c r="E25" s="23"/>
    </row>
    <row r="26" spans="1:7" s="21" customFormat="1" ht="64.5" customHeight="1" x14ac:dyDescent="0.2">
      <c r="A26" s="86"/>
      <c r="B26" s="13"/>
      <c r="C26" s="14"/>
      <c r="D26" s="23"/>
      <c r="E26" s="23"/>
      <c r="F26" s="20"/>
    </row>
    <row r="27" spans="1:7" ht="64.5" customHeight="1" x14ac:dyDescent="0.2">
      <c r="A27" s="86"/>
      <c r="B27" s="13"/>
      <c r="C27" s="14"/>
      <c r="D27" s="23"/>
      <c r="E27" s="23"/>
      <c r="G27" s="1"/>
    </row>
    <row r="28" spans="1:7" ht="64.5" customHeight="1" x14ac:dyDescent="0.2">
      <c r="A28" s="86"/>
      <c r="B28" s="13"/>
      <c r="C28" s="14"/>
      <c r="D28" s="23"/>
      <c r="E28" s="23"/>
      <c r="G28" s="1"/>
    </row>
    <row r="29" spans="1:7" ht="64.5" customHeight="1" x14ac:dyDescent="0.2">
      <c r="A29" s="86"/>
      <c r="B29" s="13"/>
      <c r="C29" s="14"/>
      <c r="D29" s="23"/>
      <c r="E29" s="23"/>
      <c r="G29" s="1"/>
    </row>
    <row r="30" spans="1:7" ht="64.5" customHeight="1" x14ac:dyDescent="0.2">
      <c r="A30" s="86"/>
      <c r="B30" s="13"/>
      <c r="C30" s="14"/>
      <c r="D30" s="23"/>
      <c r="E30" s="23"/>
      <c r="G30" s="1"/>
    </row>
    <row r="31" spans="1:7" ht="64.5" customHeight="1" x14ac:dyDescent="0.2">
      <c r="A31" s="86"/>
      <c r="B31" s="13"/>
      <c r="C31" s="14"/>
      <c r="D31" s="23"/>
      <c r="E31" s="23"/>
      <c r="G31" s="1"/>
    </row>
    <row r="32" spans="1:7" ht="64.5" customHeight="1" x14ac:dyDescent="0.2">
      <c r="A32" s="86"/>
      <c r="B32" s="13"/>
      <c r="C32" s="14"/>
      <c r="D32" s="23"/>
      <c r="E32" s="23"/>
      <c r="G32" s="1"/>
    </row>
    <row r="33" spans="1:7" ht="64.5" customHeight="1" x14ac:dyDescent="0.2">
      <c r="A33" s="86"/>
      <c r="B33" s="13"/>
      <c r="C33" s="14"/>
      <c r="D33" s="23"/>
      <c r="E33" s="23"/>
      <c r="G33" s="1"/>
    </row>
    <row r="34" spans="1:7" ht="64.5" customHeight="1" x14ac:dyDescent="0.2">
      <c r="A34" s="86"/>
      <c r="B34" s="13"/>
      <c r="C34" s="14"/>
      <c r="D34" s="23"/>
      <c r="E34" s="23"/>
      <c r="G34" s="1"/>
    </row>
    <row r="35" spans="1:7" ht="64.5" customHeight="1" x14ac:dyDescent="0.2">
      <c r="A35" s="86"/>
      <c r="B35" s="13"/>
      <c r="C35" s="14"/>
      <c r="D35" s="23"/>
      <c r="E35" s="23"/>
      <c r="G35" s="1"/>
    </row>
    <row r="36" spans="1:7" ht="64.5" customHeight="1" x14ac:dyDescent="0.2">
      <c r="A36" s="86"/>
      <c r="B36" s="13"/>
      <c r="C36" s="14"/>
      <c r="D36" s="23"/>
      <c r="E36" s="23"/>
      <c r="G36" s="1"/>
    </row>
    <row r="37" spans="1:7" ht="62" customHeight="1" x14ac:dyDescent="0.2">
      <c r="A37" s="86"/>
      <c r="B37" s="13"/>
      <c r="C37" s="14"/>
      <c r="D37" s="23"/>
      <c r="E37" s="23"/>
      <c r="G37" s="1"/>
    </row>
    <row r="38" spans="1:7" ht="63" customHeight="1" x14ac:dyDescent="0.2">
      <c r="A38" s="86"/>
      <c r="B38" s="13"/>
      <c r="C38" s="14"/>
      <c r="D38" s="23"/>
      <c r="E38" s="23"/>
      <c r="G38" s="1"/>
    </row>
    <row r="39" spans="1:7" customFormat="1" ht="63" customHeight="1" x14ac:dyDescent="0.2">
      <c r="A39" s="86"/>
      <c r="B39" s="13"/>
      <c r="C39" s="14"/>
      <c r="D39" s="23"/>
      <c r="E39" s="23"/>
      <c r="F39" s="22"/>
    </row>
    <row r="40" spans="1:7" customFormat="1" ht="63" customHeight="1" x14ac:dyDescent="0.2">
      <c r="A40" s="86"/>
      <c r="B40" s="13"/>
      <c r="C40" s="14"/>
      <c r="D40" s="23"/>
      <c r="E40" s="23"/>
      <c r="F40" s="22"/>
    </row>
    <row r="41" spans="1:7" customFormat="1" ht="63" customHeight="1" x14ac:dyDescent="0.2">
      <c r="A41" s="86"/>
      <c r="B41" s="13"/>
      <c r="C41" s="14"/>
      <c r="D41" s="23"/>
      <c r="E41" s="23"/>
      <c r="F41" s="22"/>
    </row>
    <row r="42" spans="1:7" customFormat="1" ht="63" customHeight="1" x14ac:dyDescent="0.2">
      <c r="A42" s="86"/>
      <c r="B42" s="13"/>
      <c r="C42" s="14"/>
      <c r="D42" s="23"/>
      <c r="E42" s="23"/>
      <c r="F42" s="22"/>
    </row>
    <row r="43" spans="1:7" customFormat="1" ht="63" customHeight="1" x14ac:dyDescent="0.2">
      <c r="A43" s="86"/>
      <c r="B43" s="13"/>
      <c r="C43" s="14"/>
      <c r="D43" s="23"/>
      <c r="E43" s="23"/>
      <c r="F43" s="22"/>
    </row>
    <row r="44" spans="1:7" customFormat="1" ht="63" customHeight="1" x14ac:dyDescent="0.2">
      <c r="A44" s="86"/>
      <c r="B44" s="13"/>
      <c r="C44" s="14"/>
      <c r="D44" s="23"/>
      <c r="E44" s="23"/>
      <c r="F44" s="22"/>
    </row>
    <row r="45" spans="1:7" customFormat="1" ht="63" customHeight="1" x14ac:dyDescent="0.2">
      <c r="A45" s="86"/>
      <c r="B45" s="13"/>
      <c r="C45" s="14"/>
      <c r="D45" s="23"/>
      <c r="E45" s="23"/>
      <c r="F45" s="22"/>
    </row>
    <row r="46" spans="1:7" customFormat="1" ht="63" customHeight="1" x14ac:dyDescent="0.2">
      <c r="A46" s="86"/>
      <c r="B46" s="13"/>
      <c r="C46" s="14"/>
      <c r="D46" s="23"/>
      <c r="E46" s="23"/>
      <c r="F46" s="22"/>
    </row>
    <row r="47" spans="1:7" customFormat="1" ht="63" customHeight="1" x14ac:dyDescent="0.2">
      <c r="A47" s="86"/>
      <c r="B47" s="13"/>
      <c r="C47" s="14"/>
      <c r="D47" s="23"/>
      <c r="E47" s="23"/>
      <c r="F47" s="22"/>
    </row>
    <row r="48" spans="1:7" customFormat="1" ht="63" customHeight="1" x14ac:dyDescent="0.2">
      <c r="A48" s="86"/>
      <c r="B48" s="13"/>
      <c r="C48" s="14"/>
      <c r="D48" s="23"/>
      <c r="E48" s="23"/>
      <c r="F48" s="22"/>
    </row>
    <row r="49" spans="1:6" customFormat="1" ht="63" customHeight="1" x14ac:dyDescent="0.2">
      <c r="A49" s="86"/>
      <c r="B49" s="13"/>
      <c r="C49" s="14"/>
      <c r="D49" s="23"/>
      <c r="E49" s="23"/>
      <c r="F49" s="22"/>
    </row>
    <row r="50" spans="1:6" customFormat="1" ht="63" customHeight="1" x14ac:dyDescent="0.2">
      <c r="A50" s="86"/>
      <c r="B50" s="13"/>
      <c r="C50" s="14"/>
      <c r="D50" s="23"/>
      <c r="E50" s="23"/>
      <c r="F50" s="22"/>
    </row>
    <row r="51" spans="1:6" customFormat="1" ht="63" customHeight="1" x14ac:dyDescent="0.2">
      <c r="A51" s="86"/>
      <c r="B51" s="13"/>
      <c r="C51" s="14"/>
      <c r="D51" s="23"/>
      <c r="E51" s="23"/>
      <c r="F51" s="22"/>
    </row>
    <row r="52" spans="1:6" customFormat="1" ht="63" customHeight="1" x14ac:dyDescent="0.2">
      <c r="A52" s="86"/>
      <c r="B52" s="13"/>
      <c r="C52" s="14"/>
      <c r="D52" s="23"/>
      <c r="E52" s="23"/>
      <c r="F52" s="22"/>
    </row>
    <row r="53" spans="1:6" customFormat="1" ht="63" customHeight="1" x14ac:dyDescent="0.2">
      <c r="A53" s="86"/>
      <c r="B53" s="13"/>
      <c r="C53" s="14"/>
      <c r="D53" s="23"/>
      <c r="E53" s="23"/>
      <c r="F53" s="22"/>
    </row>
    <row r="54" spans="1:6" customFormat="1" ht="63" customHeight="1" x14ac:dyDescent="0.2">
      <c r="A54" s="86"/>
      <c r="B54" s="13"/>
      <c r="C54" s="14"/>
      <c r="D54" s="23"/>
      <c r="E54" s="23"/>
      <c r="F54" s="22"/>
    </row>
    <row r="55" spans="1:6" customFormat="1" ht="63" customHeight="1" x14ac:dyDescent="0.2">
      <c r="A55" s="86"/>
      <c r="B55" s="13"/>
      <c r="C55" s="14"/>
      <c r="D55" s="23"/>
      <c r="E55" s="23"/>
      <c r="F55" s="22"/>
    </row>
    <row r="56" spans="1:6" customFormat="1" ht="63" customHeight="1" x14ac:dyDescent="0.2">
      <c r="A56" s="86"/>
      <c r="B56" s="13"/>
      <c r="C56" s="14"/>
      <c r="D56" s="23"/>
      <c r="E56" s="23"/>
      <c r="F56" s="22"/>
    </row>
    <row r="57" spans="1:6" customFormat="1" ht="63" customHeight="1" x14ac:dyDescent="0.2">
      <c r="A57" s="86"/>
      <c r="B57" s="13"/>
      <c r="C57" s="14"/>
      <c r="D57" s="23"/>
      <c r="E57" s="23"/>
      <c r="F57" s="22"/>
    </row>
    <row r="58" spans="1:6" customFormat="1" ht="63" customHeight="1" x14ac:dyDescent="0.2">
      <c r="A58" s="86"/>
      <c r="B58" s="13"/>
      <c r="C58" s="14"/>
      <c r="D58" s="23"/>
      <c r="E58" s="23"/>
      <c r="F58" s="22"/>
    </row>
    <row r="59" spans="1:6" customFormat="1" ht="63" customHeight="1" x14ac:dyDescent="0.2">
      <c r="A59" s="86"/>
      <c r="B59" s="13"/>
      <c r="C59" s="14"/>
      <c r="D59" s="23"/>
      <c r="E59" s="23"/>
      <c r="F59" s="22"/>
    </row>
    <row r="60" spans="1:6" customFormat="1" ht="63" customHeight="1" x14ac:dyDescent="0.2">
      <c r="A60" s="86"/>
      <c r="B60" s="13"/>
      <c r="C60" s="14"/>
      <c r="D60" s="23"/>
      <c r="E60" s="23"/>
      <c r="F60" s="22"/>
    </row>
    <row r="61" spans="1:6" customFormat="1" ht="63" customHeight="1" x14ac:dyDescent="0.2">
      <c r="A61" s="86"/>
      <c r="B61" s="13"/>
      <c r="C61" s="14"/>
      <c r="D61" s="23"/>
      <c r="E61" s="23"/>
      <c r="F61" s="22"/>
    </row>
    <row r="62" spans="1:6" customFormat="1" ht="63" customHeight="1" x14ac:dyDescent="0.2">
      <c r="A62" s="86"/>
      <c r="B62" s="13"/>
      <c r="C62" s="14"/>
      <c r="D62" s="23"/>
      <c r="E62" s="23"/>
      <c r="F62" s="22"/>
    </row>
    <row r="63" spans="1:6" customFormat="1" ht="63" customHeight="1" x14ac:dyDescent="0.2">
      <c r="A63" s="86"/>
      <c r="B63" s="13"/>
      <c r="C63" s="14"/>
      <c r="D63" s="23"/>
      <c r="E63" s="23"/>
      <c r="F63" s="22"/>
    </row>
    <row r="64" spans="1:6" customFormat="1" ht="63" customHeight="1" x14ac:dyDescent="0.2">
      <c r="A64" s="86"/>
      <c r="B64" s="13"/>
      <c r="C64" s="14"/>
      <c r="D64" s="23"/>
      <c r="E64" s="23"/>
      <c r="F64" s="22"/>
    </row>
    <row r="65" spans="1:6" customFormat="1" ht="63" customHeight="1" x14ac:dyDescent="0.2">
      <c r="A65" s="86"/>
      <c r="B65" s="13"/>
      <c r="C65" s="14"/>
      <c r="D65" s="23"/>
      <c r="E65" s="23"/>
      <c r="F65" s="22"/>
    </row>
    <row r="66" spans="1:6" customFormat="1" ht="63" customHeight="1" x14ac:dyDescent="0.2">
      <c r="A66" s="86"/>
      <c r="B66" s="13"/>
      <c r="C66" s="14"/>
      <c r="D66" s="23"/>
      <c r="E66" s="23"/>
      <c r="F66" s="22"/>
    </row>
    <row r="67" spans="1:6" customFormat="1" ht="63" customHeight="1" x14ac:dyDescent="0.2">
      <c r="A67" s="86"/>
      <c r="B67" s="13"/>
      <c r="C67" s="14"/>
      <c r="D67" s="23"/>
      <c r="E67" s="23"/>
      <c r="F67" s="22"/>
    </row>
    <row r="68" spans="1:6" customFormat="1" ht="63" customHeight="1" x14ac:dyDescent="0.2">
      <c r="A68" s="86"/>
      <c r="B68" s="13"/>
      <c r="C68" s="14"/>
      <c r="D68" s="23"/>
      <c r="E68" s="23"/>
      <c r="F68" s="22"/>
    </row>
    <row r="69" spans="1:6" customFormat="1" ht="63" customHeight="1" x14ac:dyDescent="0.2">
      <c r="A69" s="86"/>
      <c r="B69" s="13"/>
      <c r="C69" s="14"/>
      <c r="D69" s="23"/>
      <c r="E69" s="23"/>
      <c r="F69" s="22"/>
    </row>
    <row r="70" spans="1:6" customFormat="1" ht="63" customHeight="1" x14ac:dyDescent="0.2">
      <c r="A70" s="86"/>
      <c r="B70" s="13"/>
      <c r="C70" s="14"/>
      <c r="D70" s="23"/>
      <c r="E70" s="23"/>
      <c r="F70" s="22"/>
    </row>
    <row r="71" spans="1:6" customFormat="1" ht="63" customHeight="1" x14ac:dyDescent="0.2">
      <c r="A71" s="86"/>
      <c r="B71" s="13"/>
      <c r="C71" s="14"/>
      <c r="D71" s="23"/>
      <c r="E71" s="23"/>
      <c r="F71" s="22"/>
    </row>
    <row r="72" spans="1:6" customFormat="1" ht="63" customHeight="1" x14ac:dyDescent="0.2">
      <c r="A72" s="86"/>
      <c r="B72" s="13"/>
      <c r="C72" s="14"/>
      <c r="D72" s="23"/>
      <c r="E72" s="23"/>
      <c r="F72" s="22"/>
    </row>
    <row r="73" spans="1:6" customFormat="1" ht="63" customHeight="1" x14ac:dyDescent="0.2">
      <c r="A73" s="86"/>
      <c r="B73" s="13"/>
      <c r="C73" s="14"/>
      <c r="D73" s="23"/>
      <c r="E73" s="23"/>
      <c r="F73" s="22"/>
    </row>
    <row r="74" spans="1:6" customFormat="1" ht="63" customHeight="1" x14ac:dyDescent="0.2">
      <c r="A74" s="86"/>
      <c r="B74" s="13"/>
      <c r="C74" s="14"/>
      <c r="D74" s="23"/>
      <c r="E74" s="23"/>
      <c r="F74" s="22"/>
    </row>
    <row r="75" spans="1:6" customFormat="1" ht="63" customHeight="1" x14ac:dyDescent="0.2">
      <c r="A75" s="86"/>
      <c r="B75" s="13"/>
      <c r="C75" s="14"/>
      <c r="D75" s="23"/>
      <c r="E75" s="23"/>
      <c r="F75" s="22"/>
    </row>
    <row r="76" spans="1:6" customFormat="1" ht="63" customHeight="1" x14ac:dyDescent="0.2">
      <c r="A76" s="86"/>
      <c r="B76" s="13"/>
      <c r="C76" s="14"/>
      <c r="D76" s="23"/>
      <c r="E76" s="23"/>
      <c r="F76" s="22"/>
    </row>
    <row r="77" spans="1:6" customFormat="1" ht="63" customHeight="1" x14ac:dyDescent="0.2">
      <c r="A77" s="86"/>
      <c r="B77" s="13"/>
      <c r="C77" s="14"/>
      <c r="D77" s="23"/>
      <c r="E77" s="23"/>
      <c r="F77" s="22"/>
    </row>
    <row r="78" spans="1:6" customFormat="1" ht="63" customHeight="1" x14ac:dyDescent="0.2">
      <c r="A78" s="86"/>
      <c r="B78" s="13"/>
      <c r="C78" s="14"/>
      <c r="D78" s="23"/>
      <c r="E78" s="23"/>
      <c r="F78" s="22"/>
    </row>
    <row r="79" spans="1:6" customFormat="1" ht="63" customHeight="1" x14ac:dyDescent="0.2">
      <c r="A79" s="86"/>
      <c r="B79" s="13"/>
      <c r="C79" s="14"/>
      <c r="D79" s="23"/>
      <c r="E79" s="23"/>
      <c r="F79" s="22"/>
    </row>
    <row r="80" spans="1:6" customFormat="1" ht="63" customHeight="1" x14ac:dyDescent="0.2">
      <c r="A80" s="86"/>
      <c r="B80" s="13"/>
      <c r="C80" s="14"/>
      <c r="D80" s="23"/>
      <c r="E80" s="23"/>
      <c r="F80" s="22"/>
    </row>
    <row r="81" spans="1:6" customFormat="1" ht="63" customHeight="1" x14ac:dyDescent="0.2">
      <c r="A81" s="86"/>
      <c r="B81" s="13"/>
      <c r="C81" s="14"/>
      <c r="D81" s="23"/>
      <c r="E81" s="23"/>
      <c r="F81" s="22"/>
    </row>
    <row r="82" spans="1:6" customFormat="1" ht="63" customHeight="1" x14ac:dyDescent="0.2">
      <c r="A82" s="86"/>
      <c r="B82" s="13"/>
      <c r="C82" s="14"/>
      <c r="D82" s="23"/>
      <c r="E82" s="23"/>
      <c r="F82" s="22"/>
    </row>
    <row r="83" spans="1:6" customFormat="1" ht="63" customHeight="1" x14ac:dyDescent="0.2">
      <c r="A83" s="86"/>
      <c r="B83" s="13"/>
      <c r="C83" s="14"/>
      <c r="D83" s="23"/>
      <c r="E83" s="23"/>
      <c r="F83" s="22"/>
    </row>
    <row r="84" spans="1:6" customFormat="1" ht="63" customHeight="1" x14ac:dyDescent="0.2">
      <c r="A84" s="86"/>
      <c r="B84" s="13"/>
      <c r="C84" s="14"/>
      <c r="D84" s="23"/>
      <c r="E84" s="23"/>
      <c r="F84" s="22"/>
    </row>
    <row r="85" spans="1:6" customFormat="1" ht="63" customHeight="1" x14ac:dyDescent="0.2">
      <c r="A85" s="86"/>
      <c r="B85" s="13"/>
      <c r="C85" s="14"/>
      <c r="D85" s="23"/>
      <c r="E85" s="23"/>
      <c r="F85" s="22"/>
    </row>
    <row r="86" spans="1:6" customFormat="1" ht="63" customHeight="1" x14ac:dyDescent="0.2">
      <c r="A86" s="86"/>
      <c r="B86" s="13"/>
      <c r="C86" s="14"/>
      <c r="D86" s="23"/>
      <c r="E86" s="23"/>
      <c r="F86" s="22"/>
    </row>
    <row r="87" spans="1:6" customFormat="1" ht="63" customHeight="1" x14ac:dyDescent="0.2">
      <c r="A87" s="86"/>
      <c r="B87" s="13"/>
      <c r="C87" s="14"/>
      <c r="D87" s="23"/>
      <c r="E87" s="23"/>
      <c r="F87" s="22"/>
    </row>
    <row r="88" spans="1:6" customFormat="1" ht="63" customHeight="1" x14ac:dyDescent="0.2">
      <c r="A88" s="86"/>
      <c r="B88" s="13"/>
      <c r="C88" s="14"/>
      <c r="D88" s="23"/>
      <c r="E88" s="23"/>
      <c r="F88" s="22"/>
    </row>
    <row r="89" spans="1:6" customFormat="1" ht="63" customHeight="1" x14ac:dyDescent="0.2">
      <c r="A89" s="86"/>
      <c r="B89" s="13"/>
      <c r="C89" s="14"/>
      <c r="D89" s="23"/>
      <c r="E89" s="23"/>
      <c r="F89" s="22"/>
    </row>
    <row r="90" spans="1:6" customFormat="1" ht="63" customHeight="1" x14ac:dyDescent="0.2">
      <c r="A90" s="86"/>
      <c r="B90" s="13"/>
      <c r="C90" s="14"/>
      <c r="D90" s="23"/>
      <c r="E90" s="23"/>
      <c r="F90" s="22"/>
    </row>
    <row r="91" spans="1:6" customFormat="1" ht="63" customHeight="1" x14ac:dyDescent="0.2">
      <c r="A91" s="86"/>
      <c r="B91" s="13"/>
      <c r="C91" s="14"/>
      <c r="D91" s="23"/>
      <c r="E91" s="23"/>
      <c r="F91" s="22"/>
    </row>
    <row r="92" spans="1:6" customFormat="1" ht="63" customHeight="1" x14ac:dyDescent="0.2">
      <c r="A92" s="86"/>
      <c r="B92" s="13"/>
      <c r="C92" s="14"/>
      <c r="D92" s="23"/>
      <c r="E92" s="23"/>
      <c r="F92" s="22"/>
    </row>
    <row r="93" spans="1:6" customFormat="1" ht="63" customHeight="1" x14ac:dyDescent="0.2">
      <c r="A93" s="86"/>
      <c r="B93" s="13"/>
      <c r="C93" s="14"/>
      <c r="D93" s="23"/>
      <c r="E93" s="23"/>
      <c r="F93" s="22"/>
    </row>
    <row r="94" spans="1:6" customFormat="1" ht="16" x14ac:dyDescent="0.2">
      <c r="A94" s="87"/>
      <c r="B94" s="22"/>
      <c r="C94" s="22"/>
      <c r="D94" s="25"/>
      <c r="E94" s="25"/>
      <c r="F94" s="22"/>
    </row>
    <row r="95" spans="1:6" customFormat="1" ht="16" x14ac:dyDescent="0.2">
      <c r="A95" s="87"/>
      <c r="B95" s="22"/>
      <c r="C95" s="22"/>
      <c r="D95" s="25"/>
      <c r="E95" s="25"/>
      <c r="F95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  <c r="F13" s="16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59" customHeight="1" x14ac:dyDescent="0.2">
      <c r="A18" s="86"/>
      <c r="B18" s="13"/>
      <c r="C18" s="14"/>
      <c r="D18" s="23"/>
      <c r="E18" s="23"/>
    </row>
    <row r="19" spans="1:7" s="15" customFormat="1" ht="59" customHeight="1" x14ac:dyDescent="0.2">
      <c r="A19" s="86"/>
      <c r="B19" s="13"/>
      <c r="C19" s="14"/>
      <c r="D19" s="23"/>
      <c r="E19" s="23"/>
    </row>
    <row r="20" spans="1:7" s="21" customFormat="1" ht="59" customHeight="1" x14ac:dyDescent="0.2">
      <c r="A20" s="86"/>
      <c r="B20" s="13"/>
      <c r="C20" s="14"/>
      <c r="D20" s="23"/>
      <c r="E20" s="23"/>
      <c r="F20" s="20"/>
    </row>
    <row r="21" spans="1:7" ht="59" customHeight="1" x14ac:dyDescent="0.2">
      <c r="A21" s="86"/>
      <c r="B21" s="13"/>
      <c r="C21" s="14"/>
      <c r="D21" s="23"/>
      <c r="E21" s="23"/>
      <c r="G21" s="1"/>
    </row>
    <row r="22" spans="1:7" ht="59" customHeight="1" x14ac:dyDescent="0.2">
      <c r="A22" s="86"/>
      <c r="B22" s="13"/>
      <c r="C22" s="14"/>
      <c r="D22" s="23"/>
      <c r="E22" s="23"/>
      <c r="G22" s="1"/>
    </row>
    <row r="23" spans="1:7" ht="59" customHeight="1" x14ac:dyDescent="0.2">
      <c r="A23" s="86"/>
      <c r="B23" s="13"/>
      <c r="C23" s="14"/>
      <c r="D23" s="23"/>
      <c r="E23" s="23"/>
      <c r="G23" s="1"/>
    </row>
    <row r="24" spans="1:7" ht="59" customHeight="1" x14ac:dyDescent="0.2">
      <c r="A24" s="86"/>
      <c r="B24" s="13"/>
      <c r="C24" s="14"/>
      <c r="D24" s="23"/>
      <c r="E24" s="23"/>
      <c r="G24" s="1"/>
    </row>
    <row r="25" spans="1:7" ht="59" customHeight="1" x14ac:dyDescent="0.2">
      <c r="A25" s="86"/>
      <c r="B25" s="13"/>
      <c r="C25" s="14"/>
      <c r="D25" s="23"/>
      <c r="E25" s="23"/>
      <c r="G25" s="1"/>
    </row>
    <row r="26" spans="1:7" ht="59" customHeight="1" x14ac:dyDescent="0.2">
      <c r="A26" s="86"/>
      <c r="B26" s="13"/>
      <c r="C26" s="14"/>
      <c r="D26" s="23"/>
      <c r="E26" s="23"/>
      <c r="G26" s="1"/>
    </row>
    <row r="27" spans="1:7" ht="59" customHeight="1" x14ac:dyDescent="0.2">
      <c r="A27" s="86"/>
      <c r="B27" s="13"/>
      <c r="C27" s="14"/>
      <c r="D27" s="23"/>
      <c r="E27" s="23"/>
      <c r="G27" s="1"/>
    </row>
    <row r="28" spans="1:7" ht="59" customHeight="1" x14ac:dyDescent="0.2">
      <c r="A28" s="86"/>
      <c r="B28" s="13"/>
      <c r="C28" s="14"/>
      <c r="D28" s="23"/>
      <c r="E28" s="23"/>
      <c r="G28" s="1"/>
    </row>
    <row r="29" spans="1:7" ht="59" customHeight="1" x14ac:dyDescent="0.2">
      <c r="A29" s="86"/>
      <c r="B29" s="13"/>
      <c r="C29" s="14"/>
      <c r="D29" s="23"/>
      <c r="E29" s="23"/>
      <c r="G29" s="1"/>
    </row>
    <row r="30" spans="1:7" ht="59" customHeight="1" x14ac:dyDescent="0.2">
      <c r="A30" s="86"/>
      <c r="B30" s="13"/>
      <c r="C30" s="14"/>
      <c r="D30" s="23"/>
      <c r="E30" s="23"/>
      <c r="G30" s="1"/>
    </row>
    <row r="31" spans="1:7" ht="59" customHeight="1" x14ac:dyDescent="0.2">
      <c r="A31" s="86"/>
      <c r="B31" s="13"/>
      <c r="C31" s="14"/>
      <c r="D31" s="23"/>
      <c r="E31" s="23"/>
      <c r="G31" s="1"/>
    </row>
    <row r="32" spans="1:7" ht="59" customHeight="1" x14ac:dyDescent="0.2">
      <c r="A32" s="86"/>
      <c r="B32" s="13"/>
      <c r="C32" s="14"/>
      <c r="D32" s="23"/>
      <c r="E32" s="23"/>
      <c r="G32" s="1"/>
    </row>
    <row r="33" spans="1:6" customFormat="1" ht="59" customHeight="1" x14ac:dyDescent="0.2">
      <c r="A33" s="86"/>
      <c r="B33" s="13"/>
      <c r="C33" s="14"/>
      <c r="D33" s="23"/>
      <c r="E33" s="23"/>
      <c r="F33" s="22"/>
    </row>
    <row r="34" spans="1:6" customFormat="1" ht="59" customHeight="1" x14ac:dyDescent="0.2">
      <c r="A34" s="86"/>
      <c r="B34" s="13"/>
      <c r="C34" s="14"/>
      <c r="D34" s="23"/>
      <c r="E34" s="23"/>
      <c r="F34" s="22"/>
    </row>
    <row r="35" spans="1:6" customFormat="1" ht="59" customHeight="1" x14ac:dyDescent="0.2">
      <c r="A35" s="86"/>
      <c r="B35" s="13"/>
      <c r="C35" s="14"/>
      <c r="D35" s="23"/>
      <c r="E35" s="23"/>
      <c r="F35" s="22"/>
    </row>
    <row r="36" spans="1:6" customFormat="1" ht="59" customHeight="1" x14ac:dyDescent="0.2">
      <c r="A36" s="86"/>
      <c r="B36" s="13"/>
      <c r="C36" s="14"/>
      <c r="D36" s="23"/>
      <c r="E36" s="23"/>
      <c r="F36" s="22"/>
    </row>
    <row r="37" spans="1:6" customFormat="1" ht="59" customHeight="1" x14ac:dyDescent="0.2">
      <c r="A37" s="86"/>
      <c r="B37" s="13"/>
      <c r="C37" s="14"/>
      <c r="D37" s="23"/>
      <c r="E37" s="23"/>
      <c r="F37" s="22"/>
    </row>
    <row r="38" spans="1:6" customFormat="1" ht="59" customHeight="1" x14ac:dyDescent="0.2">
      <c r="A38" s="86"/>
      <c r="B38" s="13"/>
      <c r="C38" s="14"/>
      <c r="D38" s="23"/>
      <c r="E38" s="23"/>
      <c r="F38" s="22"/>
    </row>
    <row r="39" spans="1:6" customFormat="1" ht="59" customHeight="1" x14ac:dyDescent="0.2">
      <c r="A39" s="86"/>
      <c r="B39" s="13"/>
      <c r="C39" s="14"/>
      <c r="D39" s="23"/>
      <c r="E39" s="23"/>
      <c r="F39" s="22"/>
    </row>
    <row r="40" spans="1:6" customFormat="1" ht="59" customHeight="1" x14ac:dyDescent="0.2">
      <c r="A40" s="86"/>
      <c r="B40" s="13"/>
      <c r="C40" s="14"/>
      <c r="D40" s="23"/>
      <c r="E40" s="23"/>
      <c r="F40" s="22"/>
    </row>
    <row r="41" spans="1:6" customFormat="1" ht="59" customHeight="1" x14ac:dyDescent="0.2">
      <c r="A41" s="86"/>
      <c r="B41" s="13"/>
      <c r="C41" s="14"/>
      <c r="D41" s="23"/>
      <c r="E41" s="23"/>
      <c r="F41" s="22"/>
    </row>
    <row r="42" spans="1:6" customFormat="1" ht="59" customHeight="1" x14ac:dyDescent="0.2">
      <c r="A42" s="86"/>
      <c r="B42" s="13"/>
      <c r="C42" s="14"/>
      <c r="D42" s="23"/>
      <c r="E42" s="23"/>
      <c r="F42" s="22"/>
    </row>
    <row r="43" spans="1:6" customFormat="1" ht="59" customHeight="1" x14ac:dyDescent="0.2">
      <c r="A43" s="86"/>
      <c r="B43" s="13"/>
      <c r="C43" s="14"/>
      <c r="D43" s="23"/>
      <c r="E43" s="23"/>
      <c r="F43" s="22"/>
    </row>
    <row r="44" spans="1:6" customFormat="1" ht="59" customHeight="1" x14ac:dyDescent="0.2">
      <c r="A44" s="86"/>
      <c r="B44" s="13"/>
      <c r="C44" s="14"/>
      <c r="D44" s="23"/>
      <c r="E44" s="23"/>
      <c r="F44" s="22"/>
    </row>
    <row r="45" spans="1:6" customFormat="1" ht="59" customHeight="1" x14ac:dyDescent="0.2">
      <c r="A45" s="86"/>
      <c r="B45" s="13"/>
      <c r="C45" s="14"/>
      <c r="D45" s="23"/>
      <c r="E45" s="23"/>
      <c r="F45" s="22"/>
    </row>
    <row r="46" spans="1:6" customFormat="1" ht="59" customHeight="1" x14ac:dyDescent="0.2">
      <c r="A46" s="86"/>
      <c r="B46" s="13"/>
      <c r="C46" s="14"/>
      <c r="D46" s="23"/>
      <c r="E46" s="23"/>
      <c r="F46" s="22"/>
    </row>
    <row r="47" spans="1:6" customFormat="1" ht="59" customHeight="1" x14ac:dyDescent="0.2">
      <c r="A47" s="86"/>
      <c r="B47" s="13"/>
      <c r="C47" s="14"/>
      <c r="D47" s="23"/>
      <c r="E47" s="23"/>
      <c r="F47" s="22"/>
    </row>
    <row r="48" spans="1:6" customFormat="1" ht="59" customHeight="1" x14ac:dyDescent="0.2">
      <c r="A48" s="86"/>
      <c r="B48" s="13"/>
      <c r="C48" s="14"/>
      <c r="D48" s="23"/>
      <c r="E48" s="23"/>
      <c r="F48" s="22"/>
    </row>
    <row r="49" spans="1:6" customFormat="1" ht="59" customHeight="1" x14ac:dyDescent="0.2">
      <c r="A49" s="86"/>
      <c r="B49" s="13"/>
      <c r="C49" s="14"/>
      <c r="D49" s="23"/>
      <c r="E49" s="23"/>
      <c r="F49" s="22"/>
    </row>
    <row r="50" spans="1:6" customFormat="1" ht="59" customHeight="1" x14ac:dyDescent="0.2">
      <c r="A50" s="86"/>
      <c r="B50" s="13"/>
      <c r="C50" s="14"/>
      <c r="D50" s="23"/>
      <c r="E50" s="23"/>
      <c r="F50" s="22"/>
    </row>
    <row r="51" spans="1:6" customFormat="1" ht="59" customHeight="1" x14ac:dyDescent="0.2">
      <c r="A51" s="86"/>
      <c r="B51" s="13"/>
      <c r="C51" s="14"/>
      <c r="D51" s="23"/>
      <c r="E51" s="23"/>
      <c r="F51" s="22"/>
    </row>
    <row r="52" spans="1:6" customFormat="1" ht="59" customHeight="1" x14ac:dyDescent="0.2">
      <c r="A52" s="86"/>
      <c r="B52" s="13"/>
      <c r="C52" s="14"/>
      <c r="D52" s="23"/>
      <c r="E52" s="23"/>
      <c r="F52" s="22"/>
    </row>
    <row r="53" spans="1:6" customFormat="1" ht="59" customHeight="1" x14ac:dyDescent="0.2">
      <c r="A53" s="86"/>
      <c r="B53" s="13"/>
      <c r="C53" s="14"/>
      <c r="D53" s="23"/>
      <c r="E53" s="23"/>
      <c r="F53" s="22"/>
    </row>
    <row r="54" spans="1:6" customFormat="1" ht="59" customHeight="1" x14ac:dyDescent="0.2">
      <c r="A54" s="86"/>
      <c r="B54" s="13"/>
      <c r="C54" s="14"/>
      <c r="D54" s="23"/>
      <c r="E54" s="23"/>
      <c r="F54" s="22"/>
    </row>
    <row r="55" spans="1:6" customFormat="1" ht="59" customHeight="1" x14ac:dyDescent="0.2">
      <c r="A55" s="86"/>
      <c r="B55" s="13"/>
      <c r="C55" s="14"/>
      <c r="D55" s="23"/>
      <c r="E55" s="23"/>
      <c r="F55" s="22"/>
    </row>
    <row r="56" spans="1:6" customFormat="1" ht="59" customHeight="1" x14ac:dyDescent="0.2">
      <c r="A56" s="86"/>
      <c r="B56" s="13"/>
      <c r="C56" s="14"/>
      <c r="D56" s="23"/>
      <c r="E56" s="23"/>
      <c r="F56" s="22"/>
    </row>
    <row r="57" spans="1:6" customFormat="1" ht="59" customHeight="1" x14ac:dyDescent="0.2">
      <c r="A57" s="86"/>
      <c r="B57" s="13"/>
      <c r="C57" s="14"/>
      <c r="D57" s="23"/>
      <c r="E57" s="23"/>
      <c r="F57" s="22"/>
    </row>
    <row r="58" spans="1:6" customFormat="1" ht="59" customHeight="1" x14ac:dyDescent="0.2">
      <c r="A58" s="86"/>
      <c r="B58" s="13"/>
      <c r="C58" s="14"/>
      <c r="D58" s="23"/>
      <c r="E58" s="23"/>
      <c r="F58" s="22"/>
    </row>
    <row r="59" spans="1:6" customFormat="1" ht="59" customHeight="1" x14ac:dyDescent="0.2">
      <c r="A59" s="86"/>
      <c r="B59" s="13"/>
      <c r="C59" s="14"/>
      <c r="D59" s="23"/>
      <c r="E59" s="23"/>
      <c r="F59" s="22"/>
    </row>
    <row r="60" spans="1:6" customFormat="1" ht="59" customHeight="1" x14ac:dyDescent="0.2">
      <c r="A60" s="86"/>
      <c r="B60" s="13"/>
      <c r="C60" s="14"/>
      <c r="D60" s="23"/>
      <c r="E60" s="23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89"/>
  <sheetViews>
    <sheetView showGridLines="0" topLeftCell="A5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64.5" customHeight="1" x14ac:dyDescent="0.2">
      <c r="A19" s="86"/>
      <c r="B19" s="13"/>
      <c r="C19" s="14"/>
      <c r="D19" s="23"/>
      <c r="E19" s="23"/>
    </row>
    <row r="20" spans="1:7" s="21" customFormat="1" ht="64.5" customHeight="1" x14ac:dyDescent="0.2">
      <c r="A20" s="86"/>
      <c r="B20" s="13"/>
      <c r="C20" s="14"/>
      <c r="D20" s="23"/>
      <c r="E20" s="23"/>
      <c r="F20" s="20"/>
    </row>
    <row r="21" spans="1:7" ht="64.5" customHeight="1" x14ac:dyDescent="0.2">
      <c r="A21" s="86"/>
      <c r="B21" s="13"/>
      <c r="C21" s="14"/>
      <c r="D21" s="23"/>
      <c r="E21" s="23"/>
      <c r="G21" s="1"/>
    </row>
    <row r="22" spans="1:7" ht="64.5" customHeight="1" x14ac:dyDescent="0.2">
      <c r="A22" s="86"/>
      <c r="B22" s="13"/>
      <c r="C22" s="14"/>
      <c r="D22" s="23"/>
      <c r="E22" s="23"/>
      <c r="G22" s="1"/>
    </row>
    <row r="23" spans="1:7" ht="64.5" customHeight="1" x14ac:dyDescent="0.2">
      <c r="A23" s="86"/>
      <c r="B23" s="13"/>
      <c r="C23" s="14"/>
      <c r="D23" s="23"/>
      <c r="E23" s="23"/>
      <c r="G23" s="1"/>
    </row>
    <row r="24" spans="1:7" ht="64.5" customHeight="1" x14ac:dyDescent="0.2">
      <c r="A24" s="86"/>
      <c r="B24" s="13"/>
      <c r="C24" s="14"/>
      <c r="D24" s="23"/>
      <c r="E24" s="23"/>
      <c r="G24" s="1"/>
    </row>
    <row r="25" spans="1:7" ht="64.5" customHeight="1" x14ac:dyDescent="0.2">
      <c r="A25" s="86"/>
      <c r="B25" s="13"/>
      <c r="C25" s="14"/>
      <c r="D25" s="23"/>
      <c r="E25" s="23"/>
      <c r="G25" s="1"/>
    </row>
    <row r="26" spans="1:7" ht="64.5" customHeight="1" x14ac:dyDescent="0.2">
      <c r="A26" s="86"/>
      <c r="B26" s="13"/>
      <c r="C26" s="14"/>
      <c r="D26" s="23"/>
      <c r="E26" s="23"/>
      <c r="G26" s="1"/>
    </row>
    <row r="27" spans="1:7" ht="64.5" customHeight="1" x14ac:dyDescent="0.2">
      <c r="A27" s="86"/>
      <c r="B27" s="13"/>
      <c r="C27" s="14"/>
      <c r="D27" s="23"/>
      <c r="E27" s="23"/>
      <c r="G27" s="1"/>
    </row>
    <row r="28" spans="1:7" ht="64.5" customHeight="1" x14ac:dyDescent="0.2">
      <c r="A28" s="86"/>
      <c r="B28" s="13"/>
      <c r="C28" s="14"/>
      <c r="D28" s="23"/>
      <c r="E28" s="23"/>
      <c r="G28" s="1"/>
    </row>
    <row r="29" spans="1:7" ht="25" x14ac:dyDescent="0.2">
      <c r="A29" s="86"/>
      <c r="B29" s="13"/>
      <c r="C29" s="14"/>
      <c r="D29" s="23"/>
      <c r="E29" s="23"/>
      <c r="G29" s="1"/>
    </row>
    <row r="30" spans="1:7" ht="25" x14ac:dyDescent="0.2">
      <c r="A30" s="86"/>
      <c r="B30" s="13"/>
      <c r="C30" s="14"/>
      <c r="D30" s="23"/>
      <c r="E30" s="23"/>
      <c r="G30" s="1"/>
    </row>
    <row r="31" spans="1:7" ht="25" x14ac:dyDescent="0.2">
      <c r="A31" s="86"/>
      <c r="B31" s="13"/>
      <c r="C31" s="14"/>
      <c r="D31" s="23"/>
      <c r="E31" s="23"/>
      <c r="G31" s="1"/>
    </row>
    <row r="32" spans="1:7" ht="25" x14ac:dyDescent="0.2">
      <c r="A32" s="86"/>
      <c r="B32" s="13"/>
      <c r="C32" s="14"/>
      <c r="D32" s="23"/>
      <c r="E32" s="23"/>
      <c r="G32" s="1"/>
    </row>
    <row r="33" spans="1:6" customFormat="1" ht="25" x14ac:dyDescent="0.2">
      <c r="A33" s="86"/>
      <c r="B33" s="13"/>
      <c r="C33" s="14"/>
      <c r="D33" s="23"/>
      <c r="E33" s="23"/>
      <c r="F33" s="22"/>
    </row>
    <row r="34" spans="1:6" customFormat="1" ht="25" x14ac:dyDescent="0.2">
      <c r="A34" s="86"/>
      <c r="B34" s="13"/>
      <c r="C34" s="14"/>
      <c r="D34" s="23"/>
      <c r="E34" s="23"/>
      <c r="F34" s="22"/>
    </row>
    <row r="35" spans="1:6" customFormat="1" ht="25" x14ac:dyDescent="0.2">
      <c r="A35" s="86"/>
      <c r="B35" s="13"/>
      <c r="C35" s="14"/>
      <c r="D35" s="23"/>
      <c r="E35" s="23"/>
      <c r="F35" s="22"/>
    </row>
    <row r="36" spans="1:6" customFormat="1" ht="25" x14ac:dyDescent="0.2">
      <c r="A36" s="86"/>
      <c r="B36" s="13"/>
      <c r="C36" s="14"/>
      <c r="D36" s="23"/>
      <c r="E36" s="23"/>
      <c r="F36" s="22"/>
    </row>
    <row r="37" spans="1:6" customFormat="1" ht="25" x14ac:dyDescent="0.2">
      <c r="A37" s="86"/>
      <c r="B37" s="13"/>
      <c r="C37" s="14"/>
      <c r="D37" s="23"/>
      <c r="E37" s="23"/>
      <c r="F37" s="22"/>
    </row>
    <row r="38" spans="1:6" customFormat="1" ht="25" x14ac:dyDescent="0.2">
      <c r="A38" s="86"/>
      <c r="B38" s="13"/>
      <c r="C38" s="14"/>
      <c r="D38" s="23"/>
      <c r="E38" s="23"/>
      <c r="F38" s="22"/>
    </row>
    <row r="39" spans="1:6" customFormat="1" ht="25" x14ac:dyDescent="0.2">
      <c r="A39" s="86"/>
      <c r="B39" s="13"/>
      <c r="C39" s="14"/>
      <c r="D39" s="23"/>
      <c r="E39" s="23"/>
      <c r="F39" s="22"/>
    </row>
    <row r="40" spans="1:6" customFormat="1" ht="25" x14ac:dyDescent="0.2">
      <c r="A40" s="86"/>
      <c r="B40" s="13"/>
      <c r="C40" s="14"/>
      <c r="D40" s="23"/>
      <c r="E40" s="23"/>
      <c r="F40" s="22"/>
    </row>
    <row r="41" spans="1:6" customFormat="1" ht="25" x14ac:dyDescent="0.2">
      <c r="A41" s="86"/>
      <c r="B41" s="13"/>
      <c r="C41" s="14"/>
      <c r="D41" s="23"/>
      <c r="E41" s="23"/>
      <c r="F41" s="22"/>
    </row>
    <row r="42" spans="1:6" customFormat="1" ht="25" x14ac:dyDescent="0.2">
      <c r="A42" s="86"/>
      <c r="B42" s="13"/>
      <c r="C42" s="14"/>
      <c r="D42" s="23"/>
      <c r="E42" s="23"/>
      <c r="F42" s="22"/>
    </row>
    <row r="43" spans="1:6" customFormat="1" ht="25" x14ac:dyDescent="0.2">
      <c r="A43" s="86"/>
      <c r="B43" s="13"/>
      <c r="C43" s="14"/>
      <c r="D43" s="23"/>
      <c r="E43" s="23"/>
      <c r="F43" s="22"/>
    </row>
    <row r="44" spans="1:6" customFormat="1" ht="25" x14ac:dyDescent="0.2">
      <c r="A44" s="86"/>
      <c r="B44" s="13"/>
      <c r="C44" s="14"/>
      <c r="D44" s="23"/>
      <c r="E44" s="23"/>
      <c r="F44" s="22"/>
    </row>
    <row r="45" spans="1:6" customFormat="1" ht="25" x14ac:dyDescent="0.2">
      <c r="A45" s="86"/>
      <c r="B45" s="13"/>
      <c r="C45" s="14"/>
      <c r="D45" s="23"/>
      <c r="E45" s="23"/>
      <c r="F45" s="22"/>
    </row>
    <row r="46" spans="1:6" customFormat="1" ht="25" x14ac:dyDescent="0.2">
      <c r="A46" s="86"/>
      <c r="B46" s="13"/>
      <c r="C46" s="14"/>
      <c r="D46" s="23"/>
      <c r="E46" s="23"/>
      <c r="F46" s="22"/>
    </row>
    <row r="47" spans="1:6" customFormat="1" ht="25" x14ac:dyDescent="0.2">
      <c r="A47" s="86"/>
      <c r="B47" s="13"/>
      <c r="C47" s="14"/>
      <c r="D47" s="23"/>
      <c r="E47" s="23"/>
      <c r="F47" s="22"/>
    </row>
    <row r="48" spans="1:6" customFormat="1" ht="25" x14ac:dyDescent="0.2">
      <c r="A48" s="86"/>
      <c r="B48" s="13"/>
      <c r="C48" s="14"/>
      <c r="D48" s="23"/>
      <c r="E48" s="23"/>
      <c r="F48" s="22"/>
    </row>
    <row r="49" spans="1:6" customFormat="1" ht="25" x14ac:dyDescent="0.2">
      <c r="A49" s="86"/>
      <c r="B49" s="13"/>
      <c r="C49" s="14"/>
      <c r="D49" s="23"/>
      <c r="E49" s="23"/>
      <c r="F49" s="22"/>
    </row>
    <row r="50" spans="1:6" customFormat="1" ht="25" x14ac:dyDescent="0.2">
      <c r="A50" s="86"/>
      <c r="B50" s="13"/>
      <c r="C50" s="14"/>
      <c r="D50" s="23"/>
      <c r="E50" s="23"/>
      <c r="F50" s="22"/>
    </row>
    <row r="51" spans="1:6" customFormat="1" ht="25" x14ac:dyDescent="0.2">
      <c r="A51" s="86"/>
      <c r="B51" s="13"/>
      <c r="C51" s="14"/>
      <c r="D51" s="23"/>
      <c r="E51" s="23"/>
      <c r="F51" s="22"/>
    </row>
    <row r="52" spans="1:6" customFormat="1" ht="25" x14ac:dyDescent="0.2">
      <c r="A52" s="86"/>
      <c r="B52" s="13"/>
      <c r="C52" s="14"/>
      <c r="D52" s="23"/>
      <c r="E52" s="23"/>
      <c r="F52" s="22"/>
    </row>
    <row r="53" spans="1:6" customFormat="1" ht="25" x14ac:dyDescent="0.2">
      <c r="A53" s="86"/>
      <c r="B53" s="13"/>
      <c r="C53" s="14"/>
      <c r="D53" s="23"/>
      <c r="E53" s="23"/>
      <c r="F53" s="22"/>
    </row>
    <row r="54" spans="1:6" customFormat="1" ht="25" x14ac:dyDescent="0.2">
      <c r="A54" s="86"/>
      <c r="B54" s="13"/>
      <c r="C54" s="14"/>
      <c r="D54" s="23"/>
      <c r="E54" s="23"/>
      <c r="F54" s="22"/>
    </row>
    <row r="55" spans="1:6" customFormat="1" ht="25" x14ac:dyDescent="0.2">
      <c r="A55" s="86"/>
      <c r="B55" s="13"/>
      <c r="C55" s="14"/>
      <c r="D55" s="23"/>
      <c r="E55" s="23"/>
      <c r="F55" s="22"/>
    </row>
    <row r="56" spans="1:6" customFormat="1" ht="25" x14ac:dyDescent="0.2">
      <c r="A56" s="86"/>
      <c r="B56" s="13"/>
      <c r="C56" s="14"/>
      <c r="D56" s="23"/>
      <c r="E56" s="23"/>
      <c r="F56" s="22"/>
    </row>
    <row r="57" spans="1:6" customFormat="1" ht="25" x14ac:dyDescent="0.2">
      <c r="A57" s="86"/>
      <c r="B57" s="13"/>
      <c r="C57" s="14"/>
      <c r="D57" s="23"/>
      <c r="E57" s="23"/>
      <c r="F57" s="22"/>
    </row>
    <row r="58" spans="1:6" customFormat="1" ht="25" x14ac:dyDescent="0.2">
      <c r="A58" s="86"/>
      <c r="B58" s="13"/>
      <c r="C58" s="14"/>
      <c r="D58" s="23"/>
      <c r="E58" s="23"/>
      <c r="F58" s="22"/>
    </row>
    <row r="59" spans="1:6" customFormat="1" ht="25" x14ac:dyDescent="0.2">
      <c r="A59" s="86"/>
      <c r="B59" s="13"/>
      <c r="C59" s="14"/>
      <c r="D59" s="23"/>
      <c r="E59" s="23"/>
      <c r="F59" s="22"/>
    </row>
    <row r="60" spans="1:6" customFormat="1" ht="25" x14ac:dyDescent="0.2">
      <c r="A60" s="86"/>
      <c r="B60" s="13"/>
      <c r="C60" s="14"/>
      <c r="D60" s="23"/>
      <c r="E60" s="23"/>
      <c r="F60" s="22"/>
    </row>
    <row r="61" spans="1:6" customFormat="1" ht="25" x14ac:dyDescent="0.2">
      <c r="A61" s="86"/>
      <c r="B61" s="13"/>
      <c r="C61" s="14"/>
      <c r="D61" s="23"/>
      <c r="E61" s="23"/>
      <c r="F61" s="22"/>
    </row>
    <row r="62" spans="1:6" customFormat="1" ht="25" x14ac:dyDescent="0.2">
      <c r="A62" s="86"/>
      <c r="B62" s="13"/>
      <c r="C62" s="14"/>
      <c r="D62" s="23"/>
      <c r="E62" s="23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</row>
    <row r="8" spans="1:17" s="16" customFormat="1" ht="64.5" customHeight="1" x14ac:dyDescent="0.2">
      <c r="A8" s="86"/>
      <c r="B8" s="13"/>
      <c r="C8" s="14"/>
      <c r="D8" s="23"/>
      <c r="E8" s="23"/>
      <c r="G8" s="17"/>
      <c r="H8" s="17"/>
      <c r="I8" s="17"/>
      <c r="J8" s="17"/>
      <c r="K8" s="17"/>
      <c r="L8" s="15"/>
      <c r="M8" s="17"/>
      <c r="N8" s="17"/>
      <c r="O8" s="17"/>
      <c r="P8" s="17"/>
      <c r="Q8" s="17"/>
    </row>
    <row r="9" spans="1:17" s="17" customFormat="1" ht="64.5" customHeight="1" x14ac:dyDescent="0.2">
      <c r="A9" s="86"/>
      <c r="B9" s="13"/>
      <c r="C9" s="14"/>
      <c r="D9" s="23"/>
      <c r="E9" s="23"/>
      <c r="F9" s="15"/>
      <c r="G9" s="15"/>
      <c r="H9" s="15"/>
      <c r="I9" s="15"/>
      <c r="J9" s="15"/>
      <c r="K9" s="15"/>
      <c r="M9" s="15"/>
      <c r="N9" s="15"/>
      <c r="O9" s="15"/>
      <c r="P9" s="15"/>
      <c r="Q9" s="15"/>
    </row>
    <row r="10" spans="1:17" s="15" customFormat="1" ht="64.5" customHeight="1" x14ac:dyDescent="0.2">
      <c r="A10" s="86"/>
      <c r="B10" s="13"/>
      <c r="C10" s="14"/>
      <c r="D10" s="23"/>
      <c r="E10" s="23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9"/>
      <c r="B17" s="18"/>
      <c r="C17" s="19"/>
      <c r="D17" s="24"/>
      <c r="E17" s="24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21" customFormat="1" ht="64.5" customHeight="1" x14ac:dyDescent="0.2">
      <c r="A19" s="89"/>
      <c r="B19" s="18"/>
      <c r="C19" s="19"/>
      <c r="D19" s="24"/>
      <c r="E19" s="24"/>
      <c r="F19" s="20"/>
    </row>
    <row r="20" spans="1:7" ht="64.5" customHeight="1" x14ac:dyDescent="0.2">
      <c r="A20" s="89"/>
      <c r="B20" s="18"/>
      <c r="C20" s="19"/>
      <c r="D20" s="24"/>
      <c r="E20" s="24"/>
      <c r="G20" s="1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7"/>
      <c r="B25" s="22"/>
      <c r="C25" s="22"/>
      <c r="D25" s="25"/>
      <c r="E25" s="25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16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customFormat="1" ht="16" x14ac:dyDescent="0.2">
      <c r="A32" s="87"/>
      <c r="B32" s="22"/>
      <c r="C32" s="22"/>
      <c r="D32" s="25"/>
      <c r="E32" s="25"/>
      <c r="F32" s="22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8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64.5" customHeight="1" x14ac:dyDescent="0.2">
      <c r="A19" s="86"/>
      <c r="B19" s="13"/>
      <c r="C19" s="14"/>
      <c r="D19" s="23"/>
      <c r="E19" s="23"/>
    </row>
    <row r="20" spans="1:7" s="21" customFormat="1" ht="64.5" customHeight="1" x14ac:dyDescent="0.2">
      <c r="A20" s="86"/>
      <c r="B20" s="13"/>
      <c r="C20" s="14"/>
      <c r="D20" s="23"/>
      <c r="E20" s="23"/>
      <c r="F20" s="20"/>
    </row>
    <row r="21" spans="1:7" ht="64.5" customHeight="1" x14ac:dyDescent="0.2">
      <c r="A21" s="86"/>
      <c r="B21" s="13"/>
      <c r="C21" s="14"/>
      <c r="D21" s="23"/>
      <c r="E21" s="23"/>
      <c r="G21" s="1"/>
    </row>
    <row r="22" spans="1:7" ht="64.5" customHeight="1" x14ac:dyDescent="0.2">
      <c r="A22" s="86"/>
      <c r="B22" s="13"/>
      <c r="C22" s="14"/>
      <c r="D22" s="23"/>
      <c r="E22" s="23"/>
      <c r="G22" s="1"/>
    </row>
    <row r="23" spans="1:7" ht="64.5" customHeight="1" x14ac:dyDescent="0.2">
      <c r="A23" s="86"/>
      <c r="B23" s="13"/>
      <c r="C23" s="14"/>
      <c r="D23" s="23"/>
      <c r="E23" s="23"/>
      <c r="G23" s="1"/>
    </row>
    <row r="24" spans="1:7" ht="64.5" customHeight="1" x14ac:dyDescent="0.2">
      <c r="A24" s="86"/>
      <c r="B24" s="13"/>
      <c r="C24" s="14"/>
      <c r="D24" s="23"/>
      <c r="E24" s="23"/>
      <c r="G24" s="1"/>
    </row>
    <row r="25" spans="1:7" ht="64.5" customHeight="1" x14ac:dyDescent="0.2">
      <c r="A25" s="86"/>
      <c r="B25" s="13"/>
      <c r="C25" s="14"/>
      <c r="D25" s="23"/>
      <c r="E25" s="23"/>
      <c r="G25" s="1"/>
    </row>
    <row r="26" spans="1:7" ht="64.5" customHeight="1" x14ac:dyDescent="0.2">
      <c r="A26" s="86"/>
      <c r="B26" s="13"/>
      <c r="C26" s="14"/>
      <c r="D26" s="23"/>
      <c r="E26" s="23"/>
      <c r="G26" s="1"/>
    </row>
    <row r="27" spans="1:7" ht="64.5" customHeight="1" x14ac:dyDescent="0.2">
      <c r="A27" s="86"/>
      <c r="B27" s="13"/>
      <c r="C27" s="14"/>
      <c r="D27" s="23"/>
      <c r="E27" s="23"/>
      <c r="G27" s="1"/>
    </row>
    <row r="28" spans="1:7" ht="61" customHeight="1" x14ac:dyDescent="0.2">
      <c r="A28" s="86"/>
      <c r="B28" s="13"/>
      <c r="C28" s="14"/>
      <c r="D28" s="23"/>
      <c r="E28" s="23"/>
      <c r="G28" s="1"/>
    </row>
    <row r="29" spans="1:7" ht="61" customHeight="1" x14ac:dyDescent="0.2">
      <c r="A29" s="86"/>
      <c r="B29" s="13"/>
      <c r="C29" s="14"/>
      <c r="D29" s="23"/>
      <c r="E29" s="23"/>
      <c r="G29" s="1"/>
    </row>
    <row r="30" spans="1:7" ht="61" customHeight="1" x14ac:dyDescent="0.2">
      <c r="A30" s="86"/>
      <c r="B30" s="13"/>
      <c r="C30" s="14"/>
      <c r="D30" s="23"/>
      <c r="E30" s="23"/>
      <c r="G30" s="1"/>
    </row>
    <row r="31" spans="1:7" ht="61" customHeight="1" x14ac:dyDescent="0.2">
      <c r="A31" s="86"/>
      <c r="B31" s="13"/>
      <c r="C31" s="14"/>
      <c r="D31" s="23"/>
      <c r="E31" s="23"/>
      <c r="G31" s="1"/>
    </row>
    <row r="32" spans="1:7" customFormat="1" ht="61" customHeight="1" x14ac:dyDescent="0.2">
      <c r="A32" s="86"/>
      <c r="B32" s="13"/>
      <c r="C32" s="14"/>
      <c r="D32" s="23"/>
      <c r="E32" s="23"/>
      <c r="F32" s="22"/>
    </row>
    <row r="33" spans="1:6" customFormat="1" ht="61" customHeight="1" x14ac:dyDescent="0.2">
      <c r="A33" s="86"/>
      <c r="B33" s="13"/>
      <c r="C33" s="14"/>
      <c r="D33" s="23"/>
      <c r="E33" s="23"/>
      <c r="F33" s="22"/>
    </row>
    <row r="34" spans="1:6" customFormat="1" ht="61" customHeight="1" x14ac:dyDescent="0.2">
      <c r="A34" s="86"/>
      <c r="B34" s="13"/>
      <c r="C34" s="14"/>
      <c r="D34" s="23"/>
      <c r="E34" s="23"/>
      <c r="F34" s="22"/>
    </row>
    <row r="35" spans="1:6" customFormat="1" ht="61" customHeight="1" x14ac:dyDescent="0.2">
      <c r="A35" s="86"/>
      <c r="B35" s="13"/>
      <c r="C35" s="14"/>
      <c r="D35" s="23"/>
      <c r="E35" s="23"/>
      <c r="F35" s="22"/>
    </row>
    <row r="36" spans="1:6" customFormat="1" ht="61" customHeight="1" x14ac:dyDescent="0.2">
      <c r="A36" s="86"/>
      <c r="B36" s="13"/>
      <c r="C36" s="14"/>
      <c r="D36" s="23"/>
      <c r="E36" s="23"/>
      <c r="F36" s="22"/>
    </row>
    <row r="37" spans="1:6" customFormat="1" ht="61" customHeight="1" x14ac:dyDescent="0.2">
      <c r="A37" s="86"/>
      <c r="B37" s="13"/>
      <c r="C37" s="14"/>
      <c r="D37" s="23"/>
      <c r="E37" s="23"/>
      <c r="F37" s="22"/>
    </row>
    <row r="38" spans="1:6" customFormat="1" ht="61" customHeight="1" x14ac:dyDescent="0.2">
      <c r="A38" s="86"/>
      <c r="B38" s="13"/>
      <c r="C38" s="14"/>
      <c r="D38" s="23"/>
      <c r="E38" s="23"/>
      <c r="F38" s="22"/>
    </row>
    <row r="39" spans="1:6" customFormat="1" ht="61" customHeight="1" x14ac:dyDescent="0.2">
      <c r="A39" s="86"/>
      <c r="B39" s="13"/>
      <c r="C39" s="14"/>
      <c r="D39" s="23"/>
      <c r="E39" s="23"/>
      <c r="F39" s="22"/>
    </row>
    <row r="40" spans="1:6" customFormat="1" ht="61" customHeight="1" x14ac:dyDescent="0.2">
      <c r="A40" s="86"/>
      <c r="B40" s="13"/>
      <c r="C40" s="14"/>
      <c r="D40" s="23"/>
      <c r="E40" s="23"/>
      <c r="F40" s="22"/>
    </row>
    <row r="41" spans="1:6" customFormat="1" ht="61" customHeight="1" x14ac:dyDescent="0.2">
      <c r="A41" s="86"/>
      <c r="B41" s="13"/>
      <c r="C41" s="14"/>
      <c r="D41" s="23"/>
      <c r="E41" s="23"/>
      <c r="F41" s="22"/>
    </row>
    <row r="42" spans="1:6" customFormat="1" ht="61" customHeight="1" x14ac:dyDescent="0.2">
      <c r="A42" s="86"/>
      <c r="B42" s="13"/>
      <c r="C42" s="14"/>
      <c r="D42" s="23"/>
      <c r="E42" s="23"/>
      <c r="F42" s="22"/>
    </row>
    <row r="43" spans="1:6" customFormat="1" ht="61" customHeight="1" x14ac:dyDescent="0.2">
      <c r="A43" s="86"/>
      <c r="B43" s="13"/>
      <c r="C43" s="14"/>
      <c r="D43" s="23"/>
      <c r="E43" s="23"/>
      <c r="F43" s="22"/>
    </row>
    <row r="44" spans="1:6" customFormat="1" ht="61" customHeight="1" x14ac:dyDescent="0.2">
      <c r="A44" s="86"/>
      <c r="B44" s="13"/>
      <c r="C44" s="14"/>
      <c r="D44" s="23"/>
      <c r="E44" s="23"/>
      <c r="F44" s="22"/>
    </row>
    <row r="45" spans="1:6" customFormat="1" ht="61" customHeight="1" x14ac:dyDescent="0.2">
      <c r="A45" s="86"/>
      <c r="B45" s="13"/>
      <c r="C45" s="14"/>
      <c r="D45" s="23"/>
      <c r="E45" s="23"/>
      <c r="F45" s="22"/>
    </row>
    <row r="46" spans="1:6" customFormat="1" ht="61" customHeight="1" x14ac:dyDescent="0.2">
      <c r="A46" s="86"/>
      <c r="B46" s="13"/>
      <c r="C46" s="14"/>
      <c r="D46" s="23"/>
      <c r="E46" s="23"/>
      <c r="F46" s="22"/>
    </row>
    <row r="47" spans="1:6" customFormat="1" ht="61" customHeight="1" x14ac:dyDescent="0.2">
      <c r="A47" s="86"/>
      <c r="B47" s="13"/>
      <c r="C47" s="14"/>
      <c r="D47" s="23"/>
      <c r="E47" s="23"/>
      <c r="F47" s="22"/>
    </row>
    <row r="48" spans="1:6" customFormat="1" ht="61" customHeight="1" x14ac:dyDescent="0.2">
      <c r="A48" s="86"/>
      <c r="B48" s="13"/>
      <c r="C48" s="14"/>
      <c r="D48" s="23"/>
      <c r="E48" s="23"/>
      <c r="F48" s="22"/>
    </row>
    <row r="49" spans="1:6" customFormat="1" ht="61" customHeight="1" x14ac:dyDescent="0.2">
      <c r="A49" s="86"/>
      <c r="B49" s="13"/>
      <c r="C49" s="14"/>
      <c r="D49" s="23"/>
      <c r="E49" s="23"/>
      <c r="F49" s="22"/>
    </row>
    <row r="50" spans="1:6" customFormat="1" ht="61" customHeight="1" x14ac:dyDescent="0.2">
      <c r="A50" s="86"/>
      <c r="B50" s="13"/>
      <c r="C50" s="14"/>
      <c r="D50" s="23"/>
      <c r="E50" s="23"/>
      <c r="F50" s="22"/>
    </row>
    <row r="51" spans="1:6" customFormat="1" ht="61" customHeight="1" x14ac:dyDescent="0.2">
      <c r="A51" s="86"/>
      <c r="B51" s="13"/>
      <c r="C51" s="14"/>
      <c r="D51" s="23"/>
      <c r="E51" s="23"/>
      <c r="F51" s="22"/>
    </row>
    <row r="52" spans="1:6" customFormat="1" ht="61" customHeight="1" x14ac:dyDescent="0.2">
      <c r="A52" s="86"/>
      <c r="B52" s="13"/>
      <c r="C52" s="14"/>
      <c r="D52" s="23"/>
      <c r="E52" s="23"/>
      <c r="F52" s="22"/>
    </row>
    <row r="53" spans="1:6" customFormat="1" ht="61" customHeight="1" x14ac:dyDescent="0.2">
      <c r="A53" s="86"/>
      <c r="B53" s="13"/>
      <c r="C53" s="14"/>
      <c r="D53" s="23"/>
      <c r="E53" s="23"/>
      <c r="F53" s="22"/>
    </row>
    <row r="54" spans="1:6" customFormat="1" ht="61" customHeight="1" x14ac:dyDescent="0.2">
      <c r="A54" s="86"/>
      <c r="B54" s="13"/>
      <c r="C54" s="14"/>
      <c r="D54" s="23"/>
      <c r="E54" s="23"/>
      <c r="F54" s="22"/>
    </row>
    <row r="55" spans="1:6" customFormat="1" ht="61" customHeight="1" x14ac:dyDescent="0.2">
      <c r="A55" s="86"/>
      <c r="B55" s="13"/>
      <c r="C55" s="14"/>
      <c r="D55" s="23"/>
      <c r="E55" s="23"/>
      <c r="F55" s="22"/>
    </row>
    <row r="56" spans="1:6" customFormat="1" ht="61" customHeight="1" x14ac:dyDescent="0.2">
      <c r="A56" s="86"/>
      <c r="B56" s="13"/>
      <c r="C56" s="14"/>
      <c r="D56" s="23"/>
      <c r="E56" s="23"/>
      <c r="F56" s="22"/>
    </row>
    <row r="57" spans="1:6" customFormat="1" ht="61" customHeight="1" x14ac:dyDescent="0.2">
      <c r="A57" s="86"/>
      <c r="B57" s="13"/>
      <c r="C57" s="14"/>
      <c r="D57" s="23"/>
      <c r="E57" s="23"/>
      <c r="F57" s="22"/>
    </row>
    <row r="58" spans="1:6" customFormat="1" ht="61" customHeight="1" x14ac:dyDescent="0.2">
      <c r="A58" s="86"/>
      <c r="B58" s="13"/>
      <c r="C58" s="14"/>
      <c r="D58" s="23"/>
      <c r="E58" s="23"/>
      <c r="F58" s="22"/>
    </row>
    <row r="59" spans="1:6" customFormat="1" ht="61" customHeight="1" x14ac:dyDescent="0.2">
      <c r="A59" s="86"/>
      <c r="B59" s="13"/>
      <c r="C59" s="14"/>
      <c r="D59" s="23"/>
      <c r="E59" s="23"/>
      <c r="F59" s="22"/>
    </row>
    <row r="60" spans="1:6" customFormat="1" ht="61" customHeight="1" x14ac:dyDescent="0.2">
      <c r="A60" s="86"/>
      <c r="B60" s="13"/>
      <c r="C60" s="14"/>
      <c r="D60" s="23"/>
      <c r="E60" s="23"/>
      <c r="F60" s="22"/>
    </row>
    <row r="61" spans="1:6" customFormat="1" ht="61" customHeight="1" x14ac:dyDescent="0.2">
      <c r="A61" s="86"/>
      <c r="B61" s="13"/>
      <c r="C61" s="14"/>
      <c r="D61" s="23"/>
      <c r="E61" s="23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14"/>
      <c r="B15" s="90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64.5" customHeight="1" x14ac:dyDescent="0.2">
      <c r="A19" s="86"/>
      <c r="B19" s="13"/>
      <c r="C19" s="14"/>
      <c r="D19" s="23"/>
      <c r="E19" s="23"/>
    </row>
    <row r="20" spans="1:7" s="21" customFormat="1" ht="64.5" customHeight="1" x14ac:dyDescent="0.2">
      <c r="A20" s="86"/>
      <c r="B20" s="13"/>
      <c r="C20" s="14"/>
      <c r="D20" s="23"/>
      <c r="E20" s="23"/>
      <c r="F20" s="20"/>
    </row>
    <row r="21" spans="1:7" ht="64.5" customHeight="1" x14ac:dyDescent="0.2">
      <c r="A21" s="14"/>
      <c r="B21" s="90"/>
      <c r="C21" s="14"/>
      <c r="D21" s="23"/>
      <c r="E21" s="23"/>
      <c r="G21" s="1"/>
    </row>
    <row r="22" spans="1:7" ht="64.5" customHeight="1" x14ac:dyDescent="0.2">
      <c r="A22" s="86"/>
      <c r="B22" s="13"/>
      <c r="C22" s="14"/>
      <c r="D22" s="23"/>
      <c r="E22" s="23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  <c r="F7" s="93"/>
      <c r="G7" s="94"/>
      <c r="H7" s="94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mergeCells count="1">
    <mergeCell ref="F7:H7"/>
  </mergeCell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dataValidations count="1">
    <dataValidation type="list" allowBlank="1" showInputMessage="1" showErrorMessage="1" sqref="C7:C15" xr:uid="{00000000-0002-0000-0E00-000000000000}"/>
  </dataValidation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25"/>
      <c r="E26" s="25"/>
      <c r="G26" s="1"/>
    </row>
    <row r="27" spans="1:7" ht="64.5" customHeight="1" x14ac:dyDescent="0.2">
      <c r="A27" s="87"/>
      <c r="B27" s="22"/>
      <c r="C27" s="22"/>
      <c r="D27" s="25"/>
      <c r="E27" s="25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6640625" style="1" customWidth="1"/>
    <col min="4" max="4" width="66.1640625" style="26" customWidth="1"/>
    <col min="5" max="5" width="83.5" style="26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91"/>
      <c r="B7" s="83"/>
      <c r="C7" s="84"/>
      <c r="D7" s="85"/>
      <c r="E7" s="85"/>
    </row>
    <row r="8" spans="1:17" s="15" customFormat="1" ht="64.5" customHeight="1" x14ac:dyDescent="0.2">
      <c r="A8" s="91"/>
      <c r="B8" s="83"/>
      <c r="C8" s="84"/>
      <c r="D8" s="85"/>
      <c r="E8" s="85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91"/>
      <c r="B9" s="83"/>
      <c r="C9" s="84"/>
      <c r="D9" s="85"/>
      <c r="E9" s="85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91"/>
      <c r="B10" s="83"/>
      <c r="C10" s="84"/>
      <c r="D10" s="85"/>
      <c r="E10" s="85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91"/>
      <c r="B11" s="83"/>
      <c r="C11" s="84"/>
      <c r="D11" s="85"/>
      <c r="E11" s="85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64.5" customHeight="1" x14ac:dyDescent="0.2">
      <c r="A19" s="86"/>
      <c r="B19" s="13"/>
      <c r="C19" s="14"/>
      <c r="D19" s="23"/>
      <c r="E19" s="23"/>
    </row>
    <row r="20" spans="1:7" s="21" customFormat="1" ht="64.5" customHeight="1" x14ac:dyDescent="0.2">
      <c r="A20" s="86"/>
      <c r="B20" s="13"/>
      <c r="C20" s="14"/>
      <c r="D20" s="23"/>
      <c r="E20" s="23"/>
      <c r="F20" s="20"/>
    </row>
    <row r="21" spans="1:7" ht="64.5" customHeight="1" x14ac:dyDescent="0.2">
      <c r="A21" s="86"/>
      <c r="B21" s="13"/>
      <c r="C21" s="14"/>
      <c r="D21" s="23"/>
      <c r="E21" s="23"/>
      <c r="G21" s="1"/>
    </row>
    <row r="22" spans="1:7" ht="64.5" customHeight="1" x14ac:dyDescent="0.2">
      <c r="A22" s="86"/>
      <c r="B22" s="13"/>
      <c r="C22" s="14"/>
      <c r="D22" s="23"/>
      <c r="E22" s="23"/>
      <c r="G22" s="1"/>
    </row>
    <row r="23" spans="1:7" ht="64.5" customHeight="1" x14ac:dyDescent="0.2">
      <c r="A23" s="86"/>
      <c r="B23" s="13"/>
      <c r="C23" s="14"/>
      <c r="D23" s="23"/>
      <c r="E23" s="23"/>
      <c r="G23" s="1"/>
    </row>
    <row r="24" spans="1:7" ht="64.5" customHeight="1" x14ac:dyDescent="0.2">
      <c r="A24" s="86"/>
      <c r="B24" s="13"/>
      <c r="C24" s="14"/>
      <c r="D24" s="23"/>
      <c r="E24" s="23"/>
      <c r="G24" s="1"/>
    </row>
    <row r="25" spans="1:7" ht="64.5" customHeight="1" x14ac:dyDescent="0.2">
      <c r="A25" s="86"/>
      <c r="B25" s="13"/>
      <c r="C25" s="14"/>
      <c r="D25" s="23"/>
      <c r="E25" s="23"/>
      <c r="G25" s="1"/>
    </row>
    <row r="26" spans="1:7" ht="64.5" customHeight="1" x14ac:dyDescent="0.2">
      <c r="A26" s="86"/>
      <c r="B26" s="13"/>
      <c r="C26" s="14"/>
      <c r="D26" s="23"/>
      <c r="E26" s="23"/>
      <c r="G26" s="1"/>
    </row>
    <row r="27" spans="1:7" ht="64.5" customHeight="1" x14ac:dyDescent="0.2">
      <c r="A27" s="86"/>
      <c r="B27" s="13"/>
      <c r="C27" s="14"/>
      <c r="D27" s="23"/>
      <c r="E27" s="23"/>
      <c r="G27" s="1"/>
    </row>
    <row r="28" spans="1:7" ht="64.5" customHeight="1" x14ac:dyDescent="0.2">
      <c r="A28" s="87"/>
      <c r="B28" s="22"/>
      <c r="C28" s="22"/>
      <c r="D28" s="25"/>
      <c r="E28" s="25"/>
      <c r="G28" s="1"/>
    </row>
    <row r="29" spans="1:7" ht="16" x14ac:dyDescent="0.2">
      <c r="A29" s="87"/>
      <c r="B29" s="22"/>
      <c r="C29" s="22"/>
      <c r="D29" s="25"/>
      <c r="E29" s="25"/>
      <c r="G29" s="1"/>
    </row>
    <row r="30" spans="1:7" ht="16" x14ac:dyDescent="0.2">
      <c r="A30" s="87"/>
      <c r="B30" s="22"/>
      <c r="C30" s="22"/>
      <c r="D30" s="25"/>
      <c r="E30" s="25"/>
      <c r="G30" s="1"/>
    </row>
    <row r="31" spans="1:7" ht="16" x14ac:dyDescent="0.2">
      <c r="A31" s="87"/>
      <c r="B31" s="22"/>
      <c r="C31" s="22"/>
      <c r="D31" s="25"/>
      <c r="E31" s="25"/>
      <c r="G31" s="1"/>
    </row>
    <row r="32" spans="1:7" ht="16" x14ac:dyDescent="0.2">
      <c r="A32" s="87"/>
      <c r="B32" s="22"/>
      <c r="C32" s="22"/>
      <c r="D32" s="25"/>
      <c r="E32" s="25"/>
      <c r="G32" s="1"/>
    </row>
    <row r="33" spans="1:6" customFormat="1" ht="16" x14ac:dyDescent="0.2">
      <c r="A33" s="87"/>
      <c r="B33" s="22"/>
      <c r="C33" s="22"/>
      <c r="D33" s="25"/>
      <c r="E33" s="25"/>
      <c r="F33" s="22"/>
    </row>
    <row r="34" spans="1:6" customFormat="1" ht="16" x14ac:dyDescent="0.2">
      <c r="A34" s="87"/>
      <c r="B34" s="22"/>
      <c r="C34" s="22"/>
      <c r="D34" s="25"/>
      <c r="E34" s="25"/>
      <c r="F34" s="22"/>
    </row>
    <row r="35" spans="1:6" customFormat="1" ht="16" x14ac:dyDescent="0.2">
      <c r="A35" s="87"/>
      <c r="B35" s="22"/>
      <c r="C35" s="22"/>
      <c r="D35" s="25"/>
      <c r="E35" s="25"/>
      <c r="F35" s="22"/>
    </row>
    <row r="36" spans="1:6" customFormat="1" ht="16" x14ac:dyDescent="0.2">
      <c r="A36" s="87"/>
      <c r="B36" s="22"/>
      <c r="C36" s="22"/>
      <c r="D36" s="25"/>
      <c r="E36" s="25"/>
      <c r="F36" s="22"/>
    </row>
    <row r="37" spans="1:6" customFormat="1" ht="16" x14ac:dyDescent="0.2">
      <c r="A37" s="87"/>
      <c r="B37" s="22"/>
      <c r="C37" s="22"/>
      <c r="D37" s="25"/>
      <c r="E37" s="25"/>
      <c r="F37" s="22"/>
    </row>
    <row r="38" spans="1:6" customFormat="1" ht="16" x14ac:dyDescent="0.2">
      <c r="A38" s="87"/>
      <c r="B38" s="22"/>
      <c r="C38" s="22"/>
      <c r="D38" s="25"/>
      <c r="E38" s="25"/>
      <c r="F38" s="22"/>
    </row>
    <row r="39" spans="1:6" customFormat="1" ht="16" x14ac:dyDescent="0.2">
      <c r="A39" s="87"/>
      <c r="B39" s="22"/>
      <c r="C39" s="22"/>
      <c r="D39" s="25"/>
      <c r="E39" s="25"/>
      <c r="F39" s="22"/>
    </row>
    <row r="40" spans="1:6" customFormat="1" ht="16" x14ac:dyDescent="0.2">
      <c r="A40" s="87"/>
      <c r="B40" s="22"/>
      <c r="C40" s="22"/>
      <c r="D40" s="25"/>
      <c r="E40" s="25"/>
      <c r="F40" s="22"/>
    </row>
    <row r="41" spans="1:6" customFormat="1" ht="16" x14ac:dyDescent="0.2">
      <c r="A41" s="87"/>
      <c r="B41" s="22"/>
      <c r="C41" s="22"/>
      <c r="D41" s="25"/>
      <c r="E41" s="25"/>
      <c r="F41" s="22"/>
    </row>
    <row r="42" spans="1:6" customFormat="1" ht="16" x14ac:dyDescent="0.2">
      <c r="A42" s="87"/>
      <c r="B42" s="22"/>
      <c r="C42" s="22"/>
      <c r="D42" s="25"/>
      <c r="E42" s="25"/>
      <c r="F42" s="22"/>
    </row>
    <row r="43" spans="1:6" customFormat="1" ht="16" x14ac:dyDescent="0.2">
      <c r="A43" s="87"/>
      <c r="B43" s="22"/>
      <c r="C43" s="22"/>
      <c r="D43" s="25"/>
      <c r="E43" s="25"/>
      <c r="F43" s="22"/>
    </row>
    <row r="44" spans="1:6" customFormat="1" ht="16" x14ac:dyDescent="0.2">
      <c r="A44" s="87"/>
      <c r="B44" s="22"/>
      <c r="C44" s="22"/>
      <c r="D44" s="25"/>
      <c r="E44" s="25"/>
      <c r="F44" s="22"/>
    </row>
    <row r="45" spans="1:6" customFormat="1" ht="16" x14ac:dyDescent="0.2">
      <c r="A45" s="87"/>
      <c r="B45" s="22"/>
      <c r="C45" s="22"/>
      <c r="D45" s="25"/>
      <c r="E45" s="25"/>
      <c r="F45" s="22"/>
    </row>
    <row r="46" spans="1:6" customFormat="1" ht="16" x14ac:dyDescent="0.2">
      <c r="A46" s="87"/>
      <c r="B46" s="22"/>
      <c r="C46" s="22"/>
      <c r="D46" s="25"/>
      <c r="E46" s="25"/>
      <c r="F46" s="22"/>
    </row>
    <row r="47" spans="1:6" customFormat="1" ht="16" x14ac:dyDescent="0.2">
      <c r="A47" s="87"/>
      <c r="B47" s="22"/>
      <c r="C47" s="22"/>
      <c r="D47" s="25"/>
      <c r="E47" s="25"/>
      <c r="F47" s="22"/>
    </row>
    <row r="48" spans="1:6" customFormat="1" ht="16" x14ac:dyDescent="0.2">
      <c r="A48" s="87"/>
      <c r="B48" s="22"/>
      <c r="C48" s="22"/>
      <c r="D48" s="25"/>
      <c r="E48" s="25"/>
      <c r="F48" s="22"/>
    </row>
    <row r="49" spans="1:6" customFormat="1" ht="16" x14ac:dyDescent="0.2">
      <c r="A49" s="87"/>
      <c r="B49" s="22"/>
      <c r="C49" s="22"/>
      <c r="D49" s="25"/>
      <c r="E49" s="25"/>
      <c r="F49" s="22"/>
    </row>
    <row r="50" spans="1:6" customFormat="1" ht="16" x14ac:dyDescent="0.2">
      <c r="A50" s="87"/>
      <c r="B50" s="22"/>
      <c r="C50" s="22"/>
      <c r="D50" s="25"/>
      <c r="E50" s="25"/>
      <c r="F50" s="22"/>
    </row>
    <row r="51" spans="1:6" customFormat="1" ht="16" x14ac:dyDescent="0.2">
      <c r="A51" s="87"/>
      <c r="B51" s="22"/>
      <c r="C51" s="22"/>
      <c r="D51" s="25"/>
      <c r="E51" s="25"/>
      <c r="F51" s="22"/>
    </row>
    <row r="52" spans="1:6" customFormat="1" ht="16" x14ac:dyDescent="0.2">
      <c r="A52" s="87"/>
      <c r="B52" s="22"/>
      <c r="C52" s="22"/>
      <c r="D52" s="25"/>
      <c r="E52" s="25"/>
      <c r="F52" s="22"/>
    </row>
    <row r="53" spans="1:6" customFormat="1" ht="16" x14ac:dyDescent="0.2">
      <c r="A53" s="87"/>
      <c r="B53" s="22"/>
      <c r="C53" s="22"/>
      <c r="D53" s="25"/>
      <c r="E53" s="25"/>
      <c r="F53" s="22"/>
    </row>
    <row r="54" spans="1:6" customFormat="1" ht="16" x14ac:dyDescent="0.2">
      <c r="A54" s="87"/>
      <c r="B54" s="22"/>
      <c r="C54" s="22"/>
      <c r="D54" s="25"/>
      <c r="E54" s="25"/>
      <c r="F54" s="22"/>
    </row>
    <row r="55" spans="1:6" customFormat="1" ht="16" x14ac:dyDescent="0.2">
      <c r="A55" s="87"/>
      <c r="B55" s="22"/>
      <c r="C55" s="22"/>
      <c r="D55" s="25"/>
      <c r="E55" s="25"/>
      <c r="F55" s="22"/>
    </row>
    <row r="56" spans="1:6" customFormat="1" ht="16" x14ac:dyDescent="0.2">
      <c r="A56" s="87"/>
      <c r="B56" s="22"/>
      <c r="C56" s="22"/>
      <c r="D56" s="25"/>
      <c r="E56" s="25"/>
      <c r="F56" s="22"/>
    </row>
    <row r="57" spans="1:6" customFormat="1" ht="16" x14ac:dyDescent="0.2">
      <c r="A57" s="87"/>
      <c r="B57" s="22"/>
      <c r="C57" s="22"/>
      <c r="D57" s="25"/>
      <c r="E57" s="25"/>
      <c r="F57" s="22"/>
    </row>
    <row r="58" spans="1:6" customFormat="1" ht="16" x14ac:dyDescent="0.2">
      <c r="A58" s="87"/>
      <c r="B58" s="22"/>
      <c r="C58" s="22"/>
      <c r="D58" s="25"/>
      <c r="E58" s="25"/>
      <c r="F58" s="22"/>
    </row>
    <row r="59" spans="1:6" customFormat="1" ht="16" x14ac:dyDescent="0.2">
      <c r="A59" s="87"/>
      <c r="B59" s="22"/>
      <c r="C59" s="22"/>
      <c r="D59" s="25"/>
      <c r="E59" s="25"/>
      <c r="F59" s="22"/>
    </row>
    <row r="60" spans="1:6" customFormat="1" ht="16" x14ac:dyDescent="0.2">
      <c r="A60" s="87"/>
      <c r="B60" s="22"/>
      <c r="C60" s="22"/>
      <c r="D60" s="25"/>
      <c r="E60" s="25"/>
      <c r="F60" s="22"/>
    </row>
    <row r="61" spans="1:6" customFormat="1" ht="16" x14ac:dyDescent="0.2">
      <c r="A61" s="87"/>
      <c r="B61" s="22"/>
      <c r="C61" s="22"/>
      <c r="D61" s="25"/>
      <c r="E61" s="25"/>
      <c r="F61" s="22"/>
    </row>
    <row r="62" spans="1:6" customFormat="1" ht="16" x14ac:dyDescent="0.2">
      <c r="A62" s="87"/>
      <c r="B62" s="22"/>
      <c r="C62" s="22"/>
      <c r="D62" s="25"/>
      <c r="E62" s="25"/>
      <c r="F62" s="22"/>
    </row>
    <row r="63" spans="1:6" customFormat="1" ht="16" x14ac:dyDescent="0.2">
      <c r="A63" s="87"/>
      <c r="B63" s="22"/>
      <c r="C63" s="22"/>
      <c r="D63" s="25"/>
      <c r="E63" s="25"/>
      <c r="F63" s="22"/>
    </row>
    <row r="64" spans="1:6" customFormat="1" ht="16" x14ac:dyDescent="0.2">
      <c r="A64" s="87"/>
      <c r="B64" s="22"/>
      <c r="C64" s="22"/>
      <c r="D64" s="25"/>
      <c r="E64" s="25"/>
      <c r="F64" s="22"/>
    </row>
    <row r="65" spans="1:6" customFormat="1" ht="16" x14ac:dyDescent="0.2">
      <c r="A65" s="87"/>
      <c r="B65" s="22"/>
      <c r="C65" s="22"/>
      <c r="D65" s="25"/>
      <c r="E65" s="25"/>
      <c r="F65" s="22"/>
    </row>
    <row r="66" spans="1:6" customFormat="1" ht="16" x14ac:dyDescent="0.2">
      <c r="A66" s="87"/>
      <c r="B66" s="22"/>
      <c r="C66" s="22"/>
      <c r="D66" s="25"/>
      <c r="E66" s="25"/>
      <c r="F66" s="22"/>
    </row>
    <row r="67" spans="1:6" customFormat="1" ht="16" x14ac:dyDescent="0.2">
      <c r="A67" s="87"/>
      <c r="B67" s="22"/>
      <c r="C67" s="22"/>
      <c r="D67" s="25"/>
      <c r="E67" s="25"/>
      <c r="F67" s="22"/>
    </row>
    <row r="68" spans="1:6" customFormat="1" ht="16" x14ac:dyDescent="0.2">
      <c r="A68" s="87"/>
      <c r="B68" s="22"/>
      <c r="C68" s="22"/>
      <c r="D68" s="25"/>
      <c r="E68" s="25"/>
      <c r="F68" s="22"/>
    </row>
    <row r="69" spans="1:6" customFormat="1" ht="16" x14ac:dyDescent="0.2">
      <c r="A69" s="87"/>
      <c r="B69" s="22"/>
      <c r="C69" s="22"/>
      <c r="D69" s="25"/>
      <c r="E69" s="25"/>
      <c r="F69" s="22"/>
    </row>
    <row r="70" spans="1:6" customFormat="1" ht="16" x14ac:dyDescent="0.2">
      <c r="A70" s="87"/>
      <c r="B70" s="22"/>
      <c r="C70" s="22"/>
      <c r="D70" s="25"/>
      <c r="E70" s="25"/>
      <c r="F70" s="22"/>
    </row>
    <row r="71" spans="1:6" customFormat="1" ht="16" x14ac:dyDescent="0.2">
      <c r="A71" s="87"/>
      <c r="B71" s="22"/>
      <c r="C71" s="22"/>
      <c r="D71" s="25"/>
      <c r="E71" s="25"/>
      <c r="F71" s="22"/>
    </row>
    <row r="72" spans="1:6" customFormat="1" ht="16" x14ac:dyDescent="0.2">
      <c r="A72" s="87"/>
      <c r="B72" s="22"/>
      <c r="C72" s="22"/>
      <c r="D72" s="25"/>
      <c r="E72" s="25"/>
      <c r="F72" s="22"/>
    </row>
    <row r="73" spans="1:6" customFormat="1" ht="16" x14ac:dyDescent="0.2">
      <c r="A73" s="87"/>
      <c r="B73" s="22"/>
      <c r="C73" s="22"/>
      <c r="D73" s="25"/>
      <c r="E73" s="25"/>
      <c r="F73" s="22"/>
    </row>
    <row r="74" spans="1:6" customFormat="1" ht="16" x14ac:dyDescent="0.2">
      <c r="A74" s="87"/>
      <c r="B74" s="22"/>
      <c r="C74" s="22"/>
      <c r="D74" s="25"/>
      <c r="E74" s="25"/>
      <c r="F74" s="22"/>
    </row>
    <row r="75" spans="1:6" customFormat="1" ht="16" x14ac:dyDescent="0.2">
      <c r="A75" s="87"/>
      <c r="B75" s="22"/>
      <c r="C75" s="22"/>
      <c r="D75" s="25"/>
      <c r="E75" s="25"/>
      <c r="F75" s="22"/>
    </row>
    <row r="76" spans="1:6" customFormat="1" ht="16" x14ac:dyDescent="0.2">
      <c r="A76" s="87"/>
      <c r="B76" s="22"/>
      <c r="C76" s="22"/>
      <c r="D76" s="25"/>
      <c r="E76" s="25"/>
      <c r="F76" s="22"/>
    </row>
    <row r="77" spans="1:6" customFormat="1" ht="16" x14ac:dyDescent="0.2">
      <c r="A77" s="87"/>
      <c r="B77" s="22"/>
      <c r="C77" s="22"/>
      <c r="D77" s="25"/>
      <c r="E77" s="25"/>
      <c r="F77" s="22"/>
    </row>
    <row r="78" spans="1:6" customFormat="1" ht="16" x14ac:dyDescent="0.2">
      <c r="A78" s="87"/>
      <c r="B78" s="22"/>
      <c r="C78" s="22"/>
      <c r="D78" s="25"/>
      <c r="E78" s="25"/>
      <c r="F78" s="22"/>
    </row>
    <row r="79" spans="1:6" customFormat="1" ht="16" x14ac:dyDescent="0.2">
      <c r="A79" s="87"/>
      <c r="B79" s="22"/>
      <c r="C79" s="22"/>
      <c r="D79" s="25"/>
      <c r="E79" s="25"/>
      <c r="F79" s="22"/>
    </row>
    <row r="80" spans="1:6" customFormat="1" ht="16" x14ac:dyDescent="0.2">
      <c r="A80" s="87"/>
      <c r="B80" s="22"/>
      <c r="C80" s="22"/>
      <c r="D80" s="25"/>
      <c r="E80" s="25"/>
      <c r="F80" s="22"/>
    </row>
    <row r="81" spans="1:6" customFormat="1" ht="16" x14ac:dyDescent="0.2">
      <c r="A81" s="87"/>
      <c r="B81" s="22"/>
      <c r="C81" s="22"/>
      <c r="D81" s="25"/>
      <c r="E81" s="25"/>
      <c r="F81" s="22"/>
    </row>
    <row r="82" spans="1:6" customFormat="1" ht="16" x14ac:dyDescent="0.2">
      <c r="A82" s="87"/>
      <c r="B82" s="22"/>
      <c r="C82" s="22"/>
      <c r="D82" s="25"/>
      <c r="E82" s="25"/>
      <c r="F82" s="22"/>
    </row>
    <row r="83" spans="1:6" customFormat="1" ht="16" x14ac:dyDescent="0.2">
      <c r="A83" s="87"/>
      <c r="B83" s="22"/>
      <c r="C83" s="22"/>
      <c r="D83" s="25"/>
      <c r="E83" s="25"/>
      <c r="F83" s="22"/>
    </row>
    <row r="84" spans="1:6" customFormat="1" ht="16" x14ac:dyDescent="0.2">
      <c r="A84" s="87"/>
      <c r="B84" s="22"/>
      <c r="C84" s="22"/>
      <c r="D84" s="25"/>
      <c r="E84" s="25"/>
      <c r="F84" s="22"/>
    </row>
    <row r="85" spans="1:6" customFormat="1" ht="16" x14ac:dyDescent="0.2">
      <c r="A85" s="87"/>
      <c r="B85" s="22"/>
      <c r="C85" s="22"/>
      <c r="D85" s="25"/>
      <c r="E85" s="25"/>
      <c r="F85" s="22"/>
    </row>
    <row r="86" spans="1:6" customFormat="1" ht="16" x14ac:dyDescent="0.2">
      <c r="A86" s="87"/>
      <c r="B86" s="22"/>
      <c r="C86" s="22"/>
      <c r="D86" s="25"/>
      <c r="E86" s="25"/>
      <c r="F86" s="22"/>
    </row>
    <row r="87" spans="1:6" customFormat="1" ht="16" x14ac:dyDescent="0.2">
      <c r="A87" s="87"/>
      <c r="B87" s="22"/>
      <c r="C87" s="22"/>
      <c r="D87" s="25"/>
      <c r="E87" s="25"/>
      <c r="F87" s="22"/>
    </row>
    <row r="88" spans="1:6" customFormat="1" ht="16" x14ac:dyDescent="0.2">
      <c r="A88" s="87"/>
      <c r="B88" s="22"/>
      <c r="C88" s="22"/>
      <c r="D88" s="25"/>
      <c r="E88" s="25"/>
      <c r="F88" s="22"/>
    </row>
    <row r="89" spans="1:6" customFormat="1" ht="16" x14ac:dyDescent="0.2">
      <c r="A89" s="87"/>
      <c r="B89" s="22"/>
      <c r="C89" s="22"/>
      <c r="D89" s="25"/>
      <c r="E89" s="25"/>
      <c r="F89" s="22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6"/>
      <c r="B18" s="13"/>
      <c r="C18" s="14"/>
      <c r="D18" s="23"/>
      <c r="E18" s="23"/>
    </row>
    <row r="19" spans="1:7" s="15" customFormat="1" ht="64.5" customHeight="1" x14ac:dyDescent="0.2">
      <c r="A19" s="86"/>
      <c r="B19" s="13"/>
      <c r="C19" s="14"/>
      <c r="D19" s="23"/>
      <c r="E19" s="23"/>
    </row>
    <row r="20" spans="1:7" s="21" customFormat="1" ht="64.5" customHeight="1" x14ac:dyDescent="0.2">
      <c r="A20" s="86"/>
      <c r="B20" s="13"/>
      <c r="C20" s="14"/>
      <c r="D20" s="23"/>
      <c r="E20" s="23"/>
      <c r="F20" s="20"/>
    </row>
    <row r="21" spans="1:7" ht="64.5" customHeight="1" x14ac:dyDescent="0.2">
      <c r="A21" s="86"/>
      <c r="B21" s="13"/>
      <c r="C21" s="14"/>
      <c r="D21" s="23"/>
      <c r="E21" s="23"/>
      <c r="G21" s="1"/>
    </row>
    <row r="22" spans="1:7" ht="64.5" customHeight="1" x14ac:dyDescent="0.2">
      <c r="A22" s="86"/>
      <c r="B22" s="13"/>
      <c r="C22" s="14"/>
      <c r="D22" s="23"/>
      <c r="E22" s="23"/>
      <c r="G22" s="1"/>
    </row>
    <row r="23" spans="1:7" ht="64.5" customHeight="1" x14ac:dyDescent="0.2">
      <c r="A23" s="86"/>
      <c r="B23" s="13"/>
      <c r="C23" s="14"/>
      <c r="D23" s="23"/>
      <c r="E23" s="23"/>
      <c r="G23" s="1"/>
    </row>
    <row r="24" spans="1:7" ht="64.5" customHeight="1" x14ac:dyDescent="0.2">
      <c r="A24" s="86"/>
      <c r="B24" s="13"/>
      <c r="C24" s="14"/>
      <c r="D24" s="23"/>
      <c r="E24" s="23"/>
      <c r="G24" s="1"/>
    </row>
    <row r="25" spans="1:7" ht="64.5" customHeight="1" x14ac:dyDescent="0.2">
      <c r="A25" s="86"/>
      <c r="B25" s="13"/>
      <c r="C25" s="14"/>
      <c r="D25" s="23"/>
      <c r="E25" s="23"/>
      <c r="G25" s="1"/>
    </row>
    <row r="26" spans="1:7" ht="64.5" customHeight="1" x14ac:dyDescent="0.2">
      <c r="A26" s="86"/>
      <c r="B26" s="13"/>
      <c r="C26" s="14"/>
      <c r="D26" s="23"/>
      <c r="E26" s="23"/>
      <c r="G26" s="1"/>
    </row>
    <row r="27" spans="1:7" ht="64.5" customHeight="1" x14ac:dyDescent="0.2">
      <c r="A27" s="86"/>
      <c r="B27" s="13"/>
      <c r="C27" s="14"/>
      <c r="D27" s="23"/>
      <c r="E27" s="23"/>
      <c r="G27" s="1"/>
    </row>
    <row r="28" spans="1:7" ht="64.5" customHeight="1" x14ac:dyDescent="0.2">
      <c r="A28" s="86"/>
      <c r="B28" s="13"/>
      <c r="C28" s="14"/>
      <c r="D28" s="23"/>
      <c r="E28" s="23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86"/>
      <c r="B7" s="13"/>
      <c r="C7" s="14"/>
      <c r="D7" s="23"/>
      <c r="E7" s="23"/>
    </row>
    <row r="8" spans="1:17" s="15" customFormat="1" ht="64.5" customHeight="1" x14ac:dyDescent="0.2">
      <c r="A8" s="86"/>
      <c r="B8" s="13"/>
      <c r="C8" s="14"/>
      <c r="D8" s="23"/>
      <c r="E8" s="23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92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91"/>
      <c r="B7" s="83"/>
      <c r="C7" s="84"/>
      <c r="D7" s="85"/>
      <c r="E7" s="85"/>
    </row>
    <row r="8" spans="1:17" s="15" customFormat="1" ht="64.5" customHeight="1" x14ac:dyDescent="0.2">
      <c r="A8" s="91"/>
      <c r="B8" s="83"/>
      <c r="C8" s="84"/>
      <c r="D8" s="85"/>
      <c r="E8" s="85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86"/>
      <c r="B9" s="13"/>
      <c r="C9" s="14"/>
      <c r="D9" s="23"/>
      <c r="E9" s="23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91"/>
      <c r="B7" s="83"/>
      <c r="C7" s="84"/>
      <c r="D7" s="85"/>
      <c r="E7" s="85"/>
    </row>
    <row r="8" spans="1:17" s="15" customFormat="1" ht="64.5" customHeight="1" x14ac:dyDescent="0.2">
      <c r="A8" s="91"/>
      <c r="B8" s="83"/>
      <c r="C8" s="84"/>
      <c r="D8" s="85"/>
      <c r="E8" s="85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91"/>
      <c r="B9" s="83"/>
      <c r="C9" s="84"/>
      <c r="D9" s="85"/>
      <c r="E9" s="85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91"/>
      <c r="B7" s="83"/>
      <c r="C7" s="84"/>
      <c r="D7" s="85"/>
      <c r="E7" s="85"/>
    </row>
    <row r="8" spans="1:17" s="15" customFormat="1" ht="64.5" customHeight="1" x14ac:dyDescent="0.2">
      <c r="A8" s="91"/>
      <c r="B8" s="83"/>
      <c r="C8" s="84"/>
      <c r="D8" s="85"/>
      <c r="E8" s="85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91"/>
      <c r="B9" s="83"/>
      <c r="C9" s="84"/>
      <c r="D9" s="85"/>
      <c r="E9" s="85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89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88" customWidth="1"/>
    <col min="2" max="2" width="60" style="1" customWidth="1"/>
    <col min="3" max="3" width="64.83203125" style="1" customWidth="1"/>
    <col min="4" max="4" width="66.1640625" style="64" customWidth="1"/>
    <col min="5" max="5" width="83.5" style="64" customWidth="1"/>
    <col min="6" max="6" width="6.6640625" style="1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15" customFormat="1" ht="64.5" customHeight="1" x14ac:dyDescent="0.2">
      <c r="A7" s="91"/>
      <c r="B7" s="83"/>
      <c r="C7" s="84"/>
      <c r="D7" s="85"/>
      <c r="E7" s="85"/>
    </row>
    <row r="8" spans="1:17" s="15" customFormat="1" ht="64.5" customHeight="1" x14ac:dyDescent="0.2">
      <c r="A8" s="91"/>
      <c r="B8" s="83"/>
      <c r="C8" s="84"/>
      <c r="D8" s="85"/>
      <c r="E8" s="85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</row>
    <row r="9" spans="1:17" s="16" customFormat="1" ht="64.5" customHeight="1" x14ac:dyDescent="0.2">
      <c r="A9" s="91"/>
      <c r="B9" s="83"/>
      <c r="C9" s="84"/>
      <c r="D9" s="85"/>
      <c r="E9" s="85"/>
      <c r="F9" s="17"/>
      <c r="G9" s="17"/>
      <c r="H9" s="17"/>
      <c r="I9" s="17"/>
      <c r="J9" s="17"/>
      <c r="K9" s="17"/>
      <c r="L9" s="15"/>
      <c r="M9" s="17"/>
      <c r="N9" s="17"/>
      <c r="O9" s="17"/>
      <c r="P9" s="17"/>
      <c r="Q9" s="17"/>
    </row>
    <row r="10" spans="1:17" s="17" customFormat="1" ht="64.5" customHeight="1" x14ac:dyDescent="0.2">
      <c r="A10" s="86"/>
      <c r="B10" s="13"/>
      <c r="C10" s="14"/>
      <c r="D10" s="23"/>
      <c r="E10" s="23"/>
      <c r="F10" s="15"/>
      <c r="G10" s="15"/>
      <c r="H10" s="15"/>
      <c r="I10" s="15"/>
      <c r="J10" s="15"/>
      <c r="K10" s="15"/>
      <c r="M10" s="15"/>
      <c r="N10" s="15"/>
      <c r="O10" s="15"/>
      <c r="P10" s="15"/>
      <c r="Q10" s="15"/>
    </row>
    <row r="11" spans="1:17" s="15" customFormat="1" ht="64.5" customHeight="1" x14ac:dyDescent="0.2">
      <c r="A11" s="86"/>
      <c r="B11" s="13"/>
      <c r="C11" s="14"/>
      <c r="D11" s="23"/>
      <c r="E11" s="23"/>
    </row>
    <row r="12" spans="1:17" s="15" customFormat="1" ht="64.5" customHeight="1" x14ac:dyDescent="0.2">
      <c r="A12" s="86"/>
      <c r="B12" s="13"/>
      <c r="C12" s="14"/>
      <c r="D12" s="23"/>
      <c r="E12" s="23"/>
    </row>
    <row r="13" spans="1:17" s="15" customFormat="1" ht="64.5" customHeight="1" x14ac:dyDescent="0.2">
      <c r="A13" s="86"/>
      <c r="B13" s="13"/>
      <c r="C13" s="14"/>
      <c r="D13" s="23"/>
      <c r="E13" s="23"/>
    </row>
    <row r="14" spans="1:17" s="15" customFormat="1" ht="64.5" customHeight="1" x14ac:dyDescent="0.2">
      <c r="A14" s="86"/>
      <c r="B14" s="13"/>
      <c r="C14" s="14"/>
      <c r="D14" s="23"/>
      <c r="E14" s="23"/>
    </row>
    <row r="15" spans="1:17" s="15" customFormat="1" ht="64.5" customHeight="1" x14ac:dyDescent="0.2">
      <c r="A15" s="86"/>
      <c r="B15" s="13"/>
      <c r="C15" s="14"/>
      <c r="D15" s="23"/>
      <c r="E15" s="23"/>
    </row>
    <row r="16" spans="1:17" s="15" customFormat="1" ht="64.5" customHeight="1" x14ac:dyDescent="0.2">
      <c r="A16" s="86"/>
      <c r="B16" s="13"/>
      <c r="C16" s="14"/>
      <c r="D16" s="23"/>
      <c r="E16" s="23"/>
    </row>
    <row r="17" spans="1:7" s="15" customFormat="1" ht="64.5" customHeight="1" x14ac:dyDescent="0.2">
      <c r="A17" s="86"/>
      <c r="B17" s="13"/>
      <c r="C17" s="14"/>
      <c r="D17" s="23"/>
      <c r="E17" s="23"/>
    </row>
    <row r="18" spans="1:7" s="15" customFormat="1" ht="64.5" customHeight="1" x14ac:dyDescent="0.2">
      <c r="A18" s="89"/>
      <c r="B18" s="18"/>
      <c r="C18" s="19"/>
      <c r="D18" s="24"/>
      <c r="E18" s="24"/>
    </row>
    <row r="19" spans="1:7" s="15" customFormat="1" ht="64.5" customHeight="1" x14ac:dyDescent="0.2">
      <c r="A19" s="89"/>
      <c r="B19" s="18"/>
      <c r="C19" s="19"/>
      <c r="D19" s="24"/>
      <c r="E19" s="24"/>
    </row>
    <row r="20" spans="1:7" s="21" customFormat="1" ht="64.5" customHeight="1" x14ac:dyDescent="0.2">
      <c r="A20" s="89"/>
      <c r="B20" s="18"/>
      <c r="C20" s="19"/>
      <c r="D20" s="24"/>
      <c r="E20" s="24"/>
      <c r="F20" s="20"/>
    </row>
    <row r="21" spans="1:7" ht="64.5" customHeight="1" x14ac:dyDescent="0.2">
      <c r="A21" s="89"/>
      <c r="B21" s="18"/>
      <c r="C21" s="19"/>
      <c r="D21" s="24"/>
      <c r="E21" s="24"/>
      <c r="G21" s="1"/>
    </row>
    <row r="22" spans="1:7" ht="64.5" customHeight="1" x14ac:dyDescent="0.2">
      <c r="A22" s="89"/>
      <c r="B22" s="18"/>
      <c r="C22" s="19"/>
      <c r="D22" s="24"/>
      <c r="E22" s="24"/>
      <c r="G22" s="1"/>
    </row>
    <row r="23" spans="1:7" ht="64.5" customHeight="1" x14ac:dyDescent="0.2">
      <c r="A23" s="89"/>
      <c r="B23" s="18"/>
      <c r="C23" s="19"/>
      <c r="D23" s="24"/>
      <c r="E23" s="24"/>
      <c r="G23" s="1"/>
    </row>
    <row r="24" spans="1:7" ht="64.5" customHeight="1" x14ac:dyDescent="0.2">
      <c r="A24" s="89"/>
      <c r="B24" s="18"/>
      <c r="C24" s="19"/>
      <c r="D24" s="24"/>
      <c r="E24" s="24"/>
      <c r="G24" s="1"/>
    </row>
    <row r="25" spans="1:7" ht="64.5" customHeight="1" x14ac:dyDescent="0.2">
      <c r="A25" s="89"/>
      <c r="B25" s="18"/>
      <c r="C25" s="19"/>
      <c r="D25" s="24"/>
      <c r="E25" s="24"/>
      <c r="G25" s="1"/>
    </row>
    <row r="26" spans="1:7" ht="64.5" customHeight="1" x14ac:dyDescent="0.2">
      <c r="A26" s="87"/>
      <c r="B26" s="22"/>
      <c r="C26" s="22"/>
      <c r="D26" s="65"/>
      <c r="E26" s="65"/>
      <c r="G26" s="1"/>
    </row>
    <row r="27" spans="1:7" ht="64.5" customHeight="1" x14ac:dyDescent="0.2">
      <c r="A27" s="87"/>
      <c r="B27" s="22"/>
      <c r="C27" s="22"/>
      <c r="D27" s="65"/>
      <c r="E27" s="65"/>
      <c r="G27" s="1"/>
    </row>
    <row r="28" spans="1:7" ht="64.5" customHeight="1" x14ac:dyDescent="0.2">
      <c r="A28" s="87"/>
      <c r="B28" s="22"/>
      <c r="C28" s="22"/>
      <c r="D28" s="65"/>
      <c r="E28" s="65"/>
      <c r="G28" s="1"/>
    </row>
    <row r="29" spans="1:7" ht="16" x14ac:dyDescent="0.2">
      <c r="A29" s="87"/>
      <c r="B29" s="22"/>
      <c r="C29" s="22"/>
      <c r="D29" s="65"/>
      <c r="E29" s="65"/>
      <c r="G29" s="1"/>
    </row>
    <row r="30" spans="1:7" ht="16" x14ac:dyDescent="0.2">
      <c r="A30" s="87"/>
      <c r="B30" s="22"/>
      <c r="C30" s="22"/>
      <c r="D30" s="65"/>
      <c r="E30" s="65"/>
      <c r="G30" s="1"/>
    </row>
    <row r="31" spans="1:7" ht="16" x14ac:dyDescent="0.2">
      <c r="A31" s="87"/>
      <c r="B31" s="22"/>
      <c r="C31" s="22"/>
      <c r="D31" s="65"/>
      <c r="E31" s="65"/>
      <c r="G31" s="1"/>
    </row>
    <row r="32" spans="1:7" ht="16" x14ac:dyDescent="0.2">
      <c r="A32" s="87"/>
      <c r="B32" s="22"/>
      <c r="C32" s="22"/>
      <c r="D32" s="65"/>
      <c r="E32" s="65"/>
      <c r="G32" s="1"/>
    </row>
    <row r="33" spans="1:6" customFormat="1" ht="16" x14ac:dyDescent="0.2">
      <c r="A33" s="87"/>
      <c r="B33" s="22"/>
      <c r="C33" s="22"/>
      <c r="D33" s="65"/>
      <c r="E33" s="65"/>
      <c r="F33" s="22"/>
    </row>
    <row r="34" spans="1:6" customFormat="1" ht="16" x14ac:dyDescent="0.2">
      <c r="A34" s="87"/>
      <c r="B34" s="22"/>
      <c r="C34" s="22"/>
      <c r="D34" s="65"/>
      <c r="E34" s="65"/>
      <c r="F34" s="22"/>
    </row>
    <row r="35" spans="1:6" customFormat="1" ht="16" x14ac:dyDescent="0.2">
      <c r="A35" s="87"/>
      <c r="B35" s="22"/>
      <c r="C35" s="22"/>
      <c r="D35" s="65"/>
      <c r="E35" s="65"/>
      <c r="F35" s="22"/>
    </row>
    <row r="36" spans="1:6" customFormat="1" ht="16" x14ac:dyDescent="0.2">
      <c r="A36" s="87"/>
      <c r="B36" s="22"/>
      <c r="C36" s="22"/>
      <c r="D36" s="65"/>
      <c r="E36" s="65"/>
      <c r="F36" s="22"/>
    </row>
    <row r="37" spans="1:6" customFormat="1" ht="16" x14ac:dyDescent="0.2">
      <c r="A37" s="87"/>
      <c r="B37" s="22"/>
      <c r="C37" s="22"/>
      <c r="D37" s="65"/>
      <c r="E37" s="65"/>
      <c r="F37" s="22"/>
    </row>
    <row r="38" spans="1:6" customFormat="1" ht="16" x14ac:dyDescent="0.2">
      <c r="A38" s="87"/>
      <c r="B38" s="22"/>
      <c r="C38" s="22"/>
      <c r="D38" s="65"/>
      <c r="E38" s="65"/>
      <c r="F38" s="22"/>
    </row>
    <row r="39" spans="1:6" customFormat="1" ht="16" x14ac:dyDescent="0.2">
      <c r="A39" s="87"/>
      <c r="B39" s="22"/>
      <c r="C39" s="22"/>
      <c r="D39" s="65"/>
      <c r="E39" s="65"/>
      <c r="F39" s="22"/>
    </row>
    <row r="40" spans="1:6" customFormat="1" ht="16" x14ac:dyDescent="0.2">
      <c r="A40" s="87"/>
      <c r="B40" s="22"/>
      <c r="C40" s="22"/>
      <c r="D40" s="65"/>
      <c r="E40" s="65"/>
      <c r="F40" s="22"/>
    </row>
    <row r="41" spans="1:6" customFormat="1" ht="16" x14ac:dyDescent="0.2">
      <c r="A41" s="87"/>
      <c r="B41" s="22"/>
      <c r="C41" s="22"/>
      <c r="D41" s="65"/>
      <c r="E41" s="65"/>
      <c r="F41" s="22"/>
    </row>
    <row r="42" spans="1:6" customFormat="1" ht="16" x14ac:dyDescent="0.2">
      <c r="A42" s="87"/>
      <c r="B42" s="22"/>
      <c r="C42" s="22"/>
      <c r="D42" s="65"/>
      <c r="E42" s="65"/>
      <c r="F42" s="22"/>
    </row>
    <row r="43" spans="1:6" customFormat="1" ht="16" x14ac:dyDescent="0.2">
      <c r="A43" s="87"/>
      <c r="B43" s="22"/>
      <c r="C43" s="22"/>
      <c r="D43" s="65"/>
      <c r="E43" s="65"/>
      <c r="F43" s="22"/>
    </row>
    <row r="44" spans="1:6" customFormat="1" ht="16" x14ac:dyDescent="0.2">
      <c r="A44" s="87"/>
      <c r="B44" s="22"/>
      <c r="C44" s="22"/>
      <c r="D44" s="65"/>
      <c r="E44" s="65"/>
      <c r="F44" s="22"/>
    </row>
    <row r="45" spans="1:6" customFormat="1" ht="16" x14ac:dyDescent="0.2">
      <c r="A45" s="87"/>
      <c r="B45" s="22"/>
      <c r="C45" s="22"/>
      <c r="D45" s="65"/>
      <c r="E45" s="65"/>
      <c r="F45" s="22"/>
    </row>
    <row r="46" spans="1:6" customFormat="1" ht="16" x14ac:dyDescent="0.2">
      <c r="A46" s="87"/>
      <c r="B46" s="22"/>
      <c r="C46" s="22"/>
      <c r="D46" s="65"/>
      <c r="E46" s="65"/>
      <c r="F46" s="22"/>
    </row>
    <row r="47" spans="1:6" customFormat="1" ht="16" x14ac:dyDescent="0.2">
      <c r="A47" s="87"/>
      <c r="B47" s="22"/>
      <c r="C47" s="22"/>
      <c r="D47" s="65"/>
      <c r="E47" s="65"/>
      <c r="F47" s="22"/>
    </row>
    <row r="48" spans="1:6" customFormat="1" ht="16" x14ac:dyDescent="0.2">
      <c r="A48" s="87"/>
      <c r="B48" s="22"/>
      <c r="C48" s="22"/>
      <c r="D48" s="65"/>
      <c r="E48" s="65"/>
      <c r="F48" s="22"/>
    </row>
    <row r="49" spans="1:6" customFormat="1" ht="16" x14ac:dyDescent="0.2">
      <c r="A49" s="87"/>
      <c r="B49" s="22"/>
      <c r="C49" s="22"/>
      <c r="D49" s="65"/>
      <c r="E49" s="65"/>
      <c r="F49" s="22"/>
    </row>
    <row r="50" spans="1:6" customFormat="1" ht="16" x14ac:dyDescent="0.2">
      <c r="A50" s="87"/>
      <c r="B50" s="22"/>
      <c r="C50" s="22"/>
      <c r="D50" s="65"/>
      <c r="E50" s="65"/>
      <c r="F50" s="22"/>
    </row>
    <row r="51" spans="1:6" customFormat="1" ht="16" x14ac:dyDescent="0.2">
      <c r="A51" s="87"/>
      <c r="B51" s="22"/>
      <c r="C51" s="22"/>
      <c r="D51" s="65"/>
      <c r="E51" s="65"/>
      <c r="F51" s="22"/>
    </row>
    <row r="52" spans="1:6" customFormat="1" ht="16" x14ac:dyDescent="0.2">
      <c r="A52" s="87"/>
      <c r="B52" s="22"/>
      <c r="C52" s="22"/>
      <c r="D52" s="65"/>
      <c r="E52" s="65"/>
      <c r="F52" s="22"/>
    </row>
    <row r="53" spans="1:6" customFormat="1" ht="16" x14ac:dyDescent="0.2">
      <c r="A53" s="87"/>
      <c r="B53" s="22"/>
      <c r="C53" s="22"/>
      <c r="D53" s="65"/>
      <c r="E53" s="65"/>
      <c r="F53" s="22"/>
    </row>
    <row r="54" spans="1:6" customFormat="1" ht="16" x14ac:dyDescent="0.2">
      <c r="A54" s="87"/>
      <c r="B54" s="22"/>
      <c r="C54" s="22"/>
      <c r="D54" s="65"/>
      <c r="E54" s="65"/>
      <c r="F54" s="22"/>
    </row>
    <row r="55" spans="1:6" customFormat="1" ht="16" x14ac:dyDescent="0.2">
      <c r="A55" s="87"/>
      <c r="B55" s="22"/>
      <c r="C55" s="22"/>
      <c r="D55" s="65"/>
      <c r="E55" s="65"/>
      <c r="F55" s="22"/>
    </row>
    <row r="56" spans="1:6" customFormat="1" ht="16" x14ac:dyDescent="0.2">
      <c r="A56" s="87"/>
      <c r="B56" s="22"/>
      <c r="C56" s="22"/>
      <c r="D56" s="65"/>
      <c r="E56" s="65"/>
      <c r="F56" s="22"/>
    </row>
    <row r="57" spans="1:6" customFormat="1" ht="16" x14ac:dyDescent="0.2">
      <c r="A57" s="87"/>
      <c r="B57" s="22"/>
      <c r="C57" s="22"/>
      <c r="D57" s="65"/>
      <c r="E57" s="65"/>
      <c r="F57" s="22"/>
    </row>
    <row r="58" spans="1:6" customFormat="1" ht="16" x14ac:dyDescent="0.2">
      <c r="A58" s="87"/>
      <c r="B58" s="22"/>
      <c r="C58" s="22"/>
      <c r="D58" s="65"/>
      <c r="E58" s="65"/>
      <c r="F58" s="22"/>
    </row>
    <row r="59" spans="1:6" customFormat="1" ht="16" x14ac:dyDescent="0.2">
      <c r="A59" s="87"/>
      <c r="B59" s="22"/>
      <c r="C59" s="22"/>
      <c r="D59" s="65"/>
      <c r="E59" s="65"/>
      <c r="F59" s="22"/>
    </row>
    <row r="60" spans="1:6" customFormat="1" ht="16" x14ac:dyDescent="0.2">
      <c r="A60" s="87"/>
      <c r="B60" s="22"/>
      <c r="C60" s="22"/>
      <c r="D60" s="65"/>
      <c r="E60" s="65"/>
      <c r="F60" s="22"/>
    </row>
    <row r="61" spans="1:6" customFormat="1" ht="16" x14ac:dyDescent="0.2">
      <c r="A61" s="87"/>
      <c r="B61" s="22"/>
      <c r="C61" s="22"/>
      <c r="D61" s="65"/>
      <c r="E61" s="65"/>
      <c r="F61" s="22"/>
    </row>
    <row r="62" spans="1:6" customFormat="1" ht="16" x14ac:dyDescent="0.2">
      <c r="A62" s="87"/>
      <c r="B62" s="22"/>
      <c r="C62" s="22"/>
      <c r="D62" s="65"/>
      <c r="E62" s="65"/>
      <c r="F62" s="22"/>
    </row>
    <row r="63" spans="1:6" customFormat="1" ht="16" x14ac:dyDescent="0.2">
      <c r="A63" s="87"/>
      <c r="B63" s="22"/>
      <c r="C63" s="22"/>
      <c r="D63" s="65"/>
      <c r="E63" s="65"/>
      <c r="F63" s="22"/>
    </row>
    <row r="64" spans="1:6" customFormat="1" ht="16" x14ac:dyDescent="0.2">
      <c r="A64" s="87"/>
      <c r="B64" s="22"/>
      <c r="C64" s="22"/>
      <c r="D64" s="65"/>
      <c r="E64" s="65"/>
      <c r="F64" s="22"/>
    </row>
    <row r="65" spans="1:6" customFormat="1" ht="16" x14ac:dyDescent="0.2">
      <c r="A65" s="87"/>
      <c r="B65" s="22"/>
      <c r="C65" s="22"/>
      <c r="D65" s="65"/>
      <c r="E65" s="65"/>
      <c r="F65" s="22"/>
    </row>
    <row r="66" spans="1:6" customFormat="1" ht="16" x14ac:dyDescent="0.2">
      <c r="A66" s="87"/>
      <c r="B66" s="22"/>
      <c r="C66" s="22"/>
      <c r="D66" s="65"/>
      <c r="E66" s="65"/>
      <c r="F66" s="22"/>
    </row>
    <row r="67" spans="1:6" customFormat="1" ht="16" x14ac:dyDescent="0.2">
      <c r="A67" s="87"/>
      <c r="B67" s="22"/>
      <c r="C67" s="22"/>
      <c r="D67" s="65"/>
      <c r="E67" s="65"/>
      <c r="F67" s="22"/>
    </row>
    <row r="68" spans="1:6" customFormat="1" ht="16" x14ac:dyDescent="0.2">
      <c r="A68" s="87"/>
      <c r="B68" s="22"/>
      <c r="C68" s="22"/>
      <c r="D68" s="65"/>
      <c r="E68" s="65"/>
      <c r="F68" s="22"/>
    </row>
    <row r="69" spans="1:6" customFormat="1" ht="16" x14ac:dyDescent="0.2">
      <c r="A69" s="87"/>
      <c r="B69" s="22"/>
      <c r="C69" s="22"/>
      <c r="D69" s="65"/>
      <c r="E69" s="65"/>
      <c r="F69" s="22"/>
    </row>
    <row r="70" spans="1:6" customFormat="1" ht="16" x14ac:dyDescent="0.2">
      <c r="A70" s="87"/>
      <c r="B70" s="22"/>
      <c r="C70" s="22"/>
      <c r="D70" s="65"/>
      <c r="E70" s="65"/>
      <c r="F70" s="22"/>
    </row>
    <row r="71" spans="1:6" customFormat="1" ht="16" x14ac:dyDescent="0.2">
      <c r="A71" s="87"/>
      <c r="B71" s="22"/>
      <c r="C71" s="22"/>
      <c r="D71" s="65"/>
      <c r="E71" s="65"/>
      <c r="F71" s="22"/>
    </row>
    <row r="72" spans="1:6" customFormat="1" ht="16" x14ac:dyDescent="0.2">
      <c r="A72" s="87"/>
      <c r="B72" s="22"/>
      <c r="C72" s="22"/>
      <c r="D72" s="65"/>
      <c r="E72" s="65"/>
      <c r="F72" s="22"/>
    </row>
    <row r="73" spans="1:6" customFormat="1" ht="16" x14ac:dyDescent="0.2">
      <c r="A73" s="87"/>
      <c r="B73" s="22"/>
      <c r="C73" s="22"/>
      <c r="D73" s="65"/>
      <c r="E73" s="65"/>
      <c r="F73" s="22"/>
    </row>
    <row r="74" spans="1:6" customFormat="1" ht="16" x14ac:dyDescent="0.2">
      <c r="A74" s="87"/>
      <c r="B74" s="22"/>
      <c r="C74" s="22"/>
      <c r="D74" s="65"/>
      <c r="E74" s="65"/>
      <c r="F74" s="22"/>
    </row>
    <row r="75" spans="1:6" customFormat="1" ht="16" x14ac:dyDescent="0.2">
      <c r="A75" s="87"/>
      <c r="B75" s="22"/>
      <c r="C75" s="22"/>
      <c r="D75" s="65"/>
      <c r="E75" s="65"/>
      <c r="F75" s="22"/>
    </row>
    <row r="76" spans="1:6" customFormat="1" ht="16" x14ac:dyDescent="0.2">
      <c r="A76" s="87"/>
      <c r="B76" s="22"/>
      <c r="C76" s="22"/>
      <c r="D76" s="65"/>
      <c r="E76" s="65"/>
      <c r="F76" s="22"/>
    </row>
    <row r="77" spans="1:6" customFormat="1" ht="16" x14ac:dyDescent="0.2">
      <c r="A77" s="87"/>
      <c r="B77" s="22"/>
      <c r="C77" s="22"/>
      <c r="D77" s="65"/>
      <c r="E77" s="65"/>
      <c r="F77" s="22"/>
    </row>
    <row r="78" spans="1:6" customFormat="1" ht="16" x14ac:dyDescent="0.2">
      <c r="A78" s="87"/>
      <c r="B78" s="22"/>
      <c r="C78" s="22"/>
      <c r="D78" s="65"/>
      <c r="E78" s="65"/>
      <c r="F78" s="22"/>
    </row>
    <row r="79" spans="1:6" customFormat="1" ht="16" x14ac:dyDescent="0.2">
      <c r="A79" s="87"/>
      <c r="B79" s="22"/>
      <c r="C79" s="22"/>
      <c r="D79" s="65"/>
      <c r="E79" s="65"/>
      <c r="F79" s="22"/>
    </row>
    <row r="80" spans="1:6" customFormat="1" ht="16" x14ac:dyDescent="0.2">
      <c r="A80" s="87"/>
      <c r="B80" s="22"/>
      <c r="C80" s="22"/>
      <c r="D80" s="65"/>
      <c r="E80" s="65"/>
      <c r="F80" s="22"/>
    </row>
    <row r="81" spans="1:6" customFormat="1" ht="16" x14ac:dyDescent="0.2">
      <c r="A81" s="87"/>
      <c r="B81" s="22"/>
      <c r="C81" s="22"/>
      <c r="D81" s="65"/>
      <c r="E81" s="65"/>
      <c r="F81" s="22"/>
    </row>
    <row r="82" spans="1:6" customFormat="1" ht="16" x14ac:dyDescent="0.2">
      <c r="A82" s="87"/>
      <c r="B82" s="22"/>
      <c r="C82" s="22"/>
      <c r="D82" s="65"/>
      <c r="E82" s="65"/>
      <c r="F82" s="22"/>
    </row>
    <row r="83" spans="1:6" customFormat="1" ht="16" x14ac:dyDescent="0.2">
      <c r="A83" s="87"/>
      <c r="B83" s="22"/>
      <c r="C83" s="22"/>
      <c r="D83" s="65"/>
      <c r="E83" s="65"/>
      <c r="F83" s="22"/>
    </row>
    <row r="84" spans="1:6" customFormat="1" ht="16" x14ac:dyDescent="0.2">
      <c r="A84" s="87"/>
      <c r="B84" s="22"/>
      <c r="C84" s="22"/>
      <c r="D84" s="65"/>
      <c r="E84" s="65"/>
      <c r="F84" s="22"/>
    </row>
    <row r="85" spans="1:6" customFormat="1" ht="16" x14ac:dyDescent="0.2">
      <c r="A85" s="87"/>
      <c r="B85" s="22"/>
      <c r="C85" s="22"/>
      <c r="D85" s="65"/>
      <c r="E85" s="65"/>
      <c r="F85" s="22"/>
    </row>
    <row r="86" spans="1:6" customFormat="1" ht="16" x14ac:dyDescent="0.2">
      <c r="A86" s="87"/>
      <c r="B86" s="22"/>
      <c r="C86" s="22"/>
      <c r="D86" s="65"/>
      <c r="E86" s="65"/>
      <c r="F86" s="22"/>
    </row>
    <row r="87" spans="1:6" customFormat="1" ht="16" x14ac:dyDescent="0.2">
      <c r="A87" s="87"/>
      <c r="B87" s="22"/>
      <c r="C87" s="22"/>
      <c r="D87" s="65"/>
      <c r="E87" s="65"/>
      <c r="F87" s="22"/>
    </row>
    <row r="88" spans="1:6" customFormat="1" ht="16" x14ac:dyDescent="0.2">
      <c r="A88" s="87"/>
      <c r="B88" s="22"/>
      <c r="C88" s="22"/>
      <c r="D88" s="65"/>
      <c r="E88" s="65"/>
      <c r="F88" s="22"/>
    </row>
    <row r="89" spans="1:6" customFormat="1" ht="16" x14ac:dyDescent="0.2">
      <c r="A89" s="87"/>
      <c r="B89" s="22"/>
      <c r="C89" s="22"/>
      <c r="D89" s="65"/>
      <c r="E89" s="65"/>
      <c r="F89" s="22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JDR</vt:lpstr>
      <vt:lpstr>JED - Al Rawdah</vt:lpstr>
      <vt:lpstr>JED - Makkah</vt:lpstr>
      <vt:lpstr>JED - Obhor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JDR'!Print_Area</vt:lpstr>
      <vt:lpstr>'JED - Makkah'!Print_Area</vt:lpstr>
      <vt:lpstr>'JED - Obhor'!Print_Area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2026-04-08T12:19:54Z</dcterms:modified>
</cp:coreProperties>
</file>