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andyayas/VALD Automator/"/>
    </mc:Choice>
  </mc:AlternateContent>
  <xr:revisionPtr revIDLastSave="0" documentId="13_ncr:1_{32312441-C596-7547-8093-E2D89757F6C1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REPORT 2" sheetId="46" r:id="rId1"/>
    <sheet name="REPORT" sheetId="30" r:id="rId2"/>
    <sheet name="RUH - Al Malaz" sheetId="24" r:id="rId3"/>
    <sheet name="RUH - Al Massif" sheetId="25" r:id="rId4"/>
    <sheet name="RUH - Al Aarid" sheetId="28" r:id="rId5"/>
    <sheet name="RUH - Al Sahafa" sheetId="26" r:id="rId6"/>
    <sheet name="RUH - Al Wadi" sheetId="27" r:id="rId7"/>
    <sheet name="RUH - Eshbilia" sheetId="16" r:id="rId8"/>
    <sheet name="RUH - Muzahmiyah" sheetId="41" r:id="rId9"/>
    <sheet name="RUH - Rabwa" sheetId="42" r:id="rId10"/>
    <sheet name="RUH - Salam" sheetId="43" r:id="rId11"/>
    <sheet name="RUH - Swaidi" sheetId="44" r:id="rId12"/>
    <sheet name="RUH - Takhasousi" sheetId="45" r:id="rId13"/>
    <sheet name="RUH - Al Badia" sheetId="10" r:id="rId14"/>
    <sheet name="RUH - Al Fayha" sheetId="11" r:id="rId15"/>
    <sheet name="RUH - Al Khaleej" sheetId="32" r:id="rId16"/>
    <sheet name="RUH - Al Kharj" sheetId="2" r:id="rId17"/>
    <sheet name="RUH - Al Nahda" sheetId="14" r:id="rId18"/>
    <sheet name="RUH - Badr" sheetId="18" r:id="rId19"/>
    <sheet name="RUH - Ezdehar" sheetId="8" r:id="rId20"/>
    <sheet name="RUH - Murooj" sheetId="21" r:id="rId21"/>
    <sheet name="RUH - Shubra" sheetId="15" r:id="rId22"/>
    <sheet name="DMM - Al Athir" sheetId="13" r:id="rId23"/>
    <sheet name="DMM - Al Jameyeen" sheetId="5" r:id="rId24"/>
    <sheet name="DMM - Hufof" sheetId="9" r:id="rId25"/>
    <sheet name="DMM - Khobar" sheetId="12" r:id="rId26"/>
    <sheet name="JED - Hamadania" sheetId="6" r:id="rId27"/>
    <sheet name="JED - Al Rawdah" sheetId="40" r:id="rId28"/>
    <sheet name="JED - Makkah" sheetId="1" r:id="rId29"/>
    <sheet name="JED - Obhor - Al Amwaj" sheetId="7" r:id="rId30"/>
    <sheet name="JED - Obhor - Al Sheraa" sheetId="53" r:id="rId31"/>
    <sheet name="ALQ - Al Rass" sheetId="36" r:id="rId32"/>
    <sheet name="ALQ - Al Rayyan" sheetId="54" r:id="rId33"/>
    <sheet name="ALQ - Buraidah" sheetId="37" r:id="rId34"/>
    <sheet name="ALQ - Unaizah" sheetId="38" r:id="rId35"/>
    <sheet name="MED - Shouran" sheetId="20" r:id="rId36"/>
    <sheet name="MED - Taiba" sheetId="17" r:id="rId37"/>
    <sheet name="Uhud" sheetId="23" r:id="rId38"/>
    <sheet name="AlUla" sheetId="22" r:id="rId39"/>
    <sheet name="Al Mubaraz" sheetId="35" r:id="rId40"/>
    <sheet name="Hafr El Batin" sheetId="39" r:id="rId41"/>
    <sheet name="Tabuk" sheetId="48" r:id="rId42"/>
    <sheet name="Najran" sheetId="49" r:id="rId43"/>
    <sheet name="Khamis Mushait" sheetId="50" r:id="rId44"/>
    <sheet name="Hail" sheetId="52" r:id="rId45"/>
  </sheets>
  <definedNames>
    <definedName name="_xlnm.Print_Area" localSheetId="39">'Al Mubaraz'!$B$1:$H$18</definedName>
    <definedName name="_xlnm.Print_Area" localSheetId="31">'ALQ - Al Rass'!$B$1:$H$18</definedName>
    <definedName name="_xlnm.Print_Area" localSheetId="32">'ALQ - Al Rayyan'!$B$1:$H$18</definedName>
    <definedName name="_xlnm.Print_Area" localSheetId="33">'ALQ - Buraidah'!$B$1:$H$18</definedName>
    <definedName name="_xlnm.Print_Area" localSheetId="34">'ALQ - Unaizah'!$B$1:$H$18</definedName>
    <definedName name="_xlnm.Print_Area" localSheetId="38">AlUla!$B$1:$H$18</definedName>
    <definedName name="_xlnm.Print_Area" localSheetId="22">'DMM - Al Athir'!$B$1:$H$18</definedName>
    <definedName name="_xlnm.Print_Area" localSheetId="23">'DMM - Al Jameyeen'!$B$1:$H$18</definedName>
    <definedName name="_xlnm.Print_Area" localSheetId="24">'DMM - Hufof'!$B$1:$H$18</definedName>
    <definedName name="_xlnm.Print_Area" localSheetId="25">'DMM - Khobar'!$B$1:$H$18</definedName>
    <definedName name="_xlnm.Print_Area" localSheetId="40">'Hafr El Batin'!$B$1:$H$18</definedName>
    <definedName name="_xlnm.Print_Area" localSheetId="44">Hail!$B$1:$H$18</definedName>
    <definedName name="_xlnm.Print_Area" localSheetId="27">'JED - Al Rawdah'!$B$1:$H$18</definedName>
    <definedName name="_xlnm.Print_Area" localSheetId="26">'JED - Hamadania'!$B$1:$H$18</definedName>
    <definedName name="_xlnm.Print_Area" localSheetId="28">'JED - Makkah'!$B$1:$H$18</definedName>
    <definedName name="_xlnm.Print_Area" localSheetId="29">'JED - Obhor - Al Amwaj'!$B$1:$H$18</definedName>
    <definedName name="_xlnm.Print_Area" localSheetId="30">'JED - Obhor - Al Sheraa'!$B$1:$H$18</definedName>
    <definedName name="_xlnm.Print_Area" localSheetId="43">'Khamis Mushait'!$B$1:$H$18</definedName>
    <definedName name="_xlnm.Print_Area" localSheetId="35">'MED - Shouran'!$B$1:$H$18</definedName>
    <definedName name="_xlnm.Print_Area" localSheetId="36">'MED - Taiba'!$B$1:$H$18</definedName>
    <definedName name="_xlnm.Print_Area" localSheetId="42">Najran!$B$1:$H$18</definedName>
    <definedName name="_xlnm.Print_Area" localSheetId="1">REPORT!$A$1:$D$221</definedName>
    <definedName name="_xlnm.Print_Area" localSheetId="0">'REPORT 2'!$A$1:$G$45</definedName>
    <definedName name="_xlnm.Print_Area" localSheetId="4">'RUH - Al Aarid'!$B$1:$H$18</definedName>
    <definedName name="_xlnm.Print_Area" localSheetId="13">'RUH - Al Badia'!$B$1:$H$18</definedName>
    <definedName name="_xlnm.Print_Area" localSheetId="14">'RUH - Al Fayha'!$B$1:$H$18</definedName>
    <definedName name="_xlnm.Print_Area" localSheetId="15">'RUH - Al Khaleej'!$B$1:$H$18</definedName>
    <definedName name="_xlnm.Print_Area" localSheetId="16">'RUH - Al Kharj'!$B$1:$H$18</definedName>
    <definedName name="_xlnm.Print_Area" localSheetId="2">'RUH - Al Malaz'!$B$1:$H$20</definedName>
    <definedName name="_xlnm.Print_Area" localSheetId="3">'RUH - Al Massif'!$B$1:$H$19</definedName>
    <definedName name="_xlnm.Print_Area" localSheetId="17">'RUH - Al Nahda'!$B$1:$H$18</definedName>
    <definedName name="_xlnm.Print_Area" localSheetId="6">'RUH - Al Wadi'!$B$1:$H$18</definedName>
    <definedName name="_xlnm.Print_Area" localSheetId="18">'RUH - Badr'!$B$1:$H$18</definedName>
    <definedName name="_xlnm.Print_Area" localSheetId="7">'RUH - Eshbilia'!$B$1:$H$24</definedName>
    <definedName name="_xlnm.Print_Area" localSheetId="19">'RUH - Ezdehar'!$B$1:$H$17</definedName>
    <definedName name="_xlnm.Print_Area" localSheetId="20">'RUH - Murooj'!$B$1:$H$18</definedName>
    <definedName name="_xlnm.Print_Area" localSheetId="8">'RUH - Muzahmiyah'!$B$1:$H$18</definedName>
    <definedName name="_xlnm.Print_Area" localSheetId="9">'RUH - Rabwa'!$B$1:$H$18</definedName>
    <definedName name="_xlnm.Print_Area" localSheetId="10">'RUH - Salam'!$B$1:$H$18</definedName>
    <definedName name="_xlnm.Print_Area" localSheetId="21">'RUH - Shubra'!$B$1:$H$18</definedName>
    <definedName name="_xlnm.Print_Area" localSheetId="11">'RUH - Swaidi'!$B$1:$H$18</definedName>
    <definedName name="_xlnm.Print_Area" localSheetId="12">'RUH - Takhasousi'!$B$1:$H$18</definedName>
    <definedName name="_xlnm.Print_Area" localSheetId="41">Tabuk!$B$1:$H$18</definedName>
    <definedName name="_xlnm.Print_Area" localSheetId="37">Uhud!$B$1:$H$18</definedName>
    <definedName name="_xlnm.Print_Titles" localSheetId="0">'REPORT 2'!$1:$6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4" l="1"/>
  <c r="D3" i="53"/>
  <c r="D3" i="52"/>
  <c r="B37" i="46"/>
  <c r="C37" i="46" a="1"/>
  <c r="C328" i="30"/>
  <c r="D333" i="30" a="1"/>
  <c r="D328" i="30" a="1"/>
  <c r="C331" i="30"/>
  <c r="C313" i="30"/>
  <c r="D280" i="30" a="1"/>
  <c r="D283" i="30" a="1"/>
  <c r="D264" i="30" a="1"/>
  <c r="C215" i="30"/>
  <c r="C198" i="30"/>
  <c r="C182" i="30"/>
  <c r="C184" i="30"/>
  <c r="D141" i="30" a="1"/>
  <c r="C139" i="30"/>
  <c r="C246" i="30"/>
  <c r="B11" i="46"/>
  <c r="B38" i="46"/>
  <c r="B13" i="46"/>
  <c r="B49" i="46"/>
  <c r="B14" i="46"/>
  <c r="D238" i="30" a="1"/>
  <c r="B44" i="46"/>
  <c r="B18" i="46"/>
  <c r="D240" i="30" a="1"/>
  <c r="B23" i="46"/>
  <c r="B9" i="46"/>
  <c r="C245" i="30"/>
  <c r="B7" i="46"/>
  <c r="C35" i="46" a="1"/>
  <c r="C241" i="30"/>
  <c r="B33" i="46"/>
  <c r="C243" i="30"/>
  <c r="B28" i="46"/>
  <c r="D246" i="30" a="1"/>
  <c r="D200" i="30" a="1"/>
  <c r="D331" i="30" a="1"/>
  <c r="C334" i="30"/>
  <c r="D313" i="30" a="1"/>
  <c r="C281" i="30"/>
  <c r="D282" i="30" a="1"/>
  <c r="D267" i="30" a="1"/>
  <c r="C218" i="30"/>
  <c r="C201" i="30"/>
  <c r="C185" i="30"/>
  <c r="D184" i="30" a="1"/>
  <c r="D144" i="30" a="1"/>
  <c r="D243" i="30" a="1"/>
  <c r="B16" i="46"/>
  <c r="B47" i="46"/>
  <c r="B17" i="46"/>
  <c r="C69" i="30"/>
  <c r="B48" i="46"/>
  <c r="B41" i="46"/>
  <c r="B20" i="46"/>
  <c r="B35" i="46"/>
  <c r="C244" i="30"/>
  <c r="B8" i="46"/>
  <c r="D244" i="30" a="1"/>
  <c r="D183" i="30" a="1"/>
  <c r="C329" i="30"/>
  <c r="D334" i="30" a="1"/>
  <c r="C314" i="30"/>
  <c r="C284" i="30"/>
  <c r="C263" i="30"/>
  <c r="C265" i="30"/>
  <c r="C217" i="30"/>
  <c r="D198" i="30" a="1"/>
  <c r="D186" i="30" a="1"/>
  <c r="C174" i="30"/>
  <c r="C143" i="30"/>
  <c r="D139" i="30" a="1"/>
  <c r="B39" i="46"/>
  <c r="C235" i="30"/>
  <c r="D237" i="30" a="1"/>
  <c r="C283" i="30"/>
  <c r="C264" i="30"/>
  <c r="D242" i="30" a="1"/>
  <c r="D67" i="30" a="1"/>
  <c r="B31" i="46"/>
  <c r="D69" i="30" a="1"/>
  <c r="D329" i="30" a="1"/>
  <c r="C332" i="30"/>
  <c r="D314" i="30" a="1"/>
  <c r="D281" i="30" a="1"/>
  <c r="C266" i="30"/>
  <c r="D265" i="30" a="1"/>
  <c r="D215" i="30" a="1"/>
  <c r="D201" i="30" a="1"/>
  <c r="D182" i="30" a="1"/>
  <c r="D174" i="30" a="1"/>
  <c r="C142" i="30"/>
  <c r="D128" i="30" a="1"/>
  <c r="C127" i="30"/>
  <c r="B19" i="46"/>
  <c r="D127" i="30" a="1"/>
  <c r="C247" i="30"/>
  <c r="D236" i="30" a="1"/>
  <c r="B34" i="46"/>
  <c r="B25" i="46"/>
  <c r="B21" i="46"/>
  <c r="B32" i="46"/>
  <c r="C239" i="30"/>
  <c r="B10" i="46"/>
  <c r="D245" i="30" a="1"/>
  <c r="D285" i="30" a="1"/>
  <c r="B30" i="46"/>
  <c r="B43" i="46"/>
  <c r="B45" i="46"/>
  <c r="B12" i="46"/>
  <c r="B24" i="46"/>
  <c r="B22" i="46"/>
  <c r="D239" i="30" a="1"/>
  <c r="D332" i="30" a="1"/>
  <c r="C304" i="30"/>
  <c r="D284" i="30" a="1"/>
  <c r="C267" i="30"/>
  <c r="C257" i="30"/>
  <c r="D218" i="30" a="1"/>
  <c r="C199" i="30"/>
  <c r="D185" i="30" a="1"/>
  <c r="C141" i="30"/>
  <c r="D142" i="30" a="1"/>
  <c r="B27" i="46"/>
  <c r="B36" i="46"/>
  <c r="C238" i="30"/>
  <c r="C236" i="30"/>
  <c r="B40" i="46"/>
  <c r="C237" i="30"/>
  <c r="B15" i="46"/>
  <c r="B42" i="46"/>
  <c r="B46" i="46"/>
  <c r="C282" i="30"/>
  <c r="D263" i="30" a="1"/>
  <c r="D257" i="30" a="1"/>
  <c r="C216" i="30"/>
  <c r="D199" i="30" a="1"/>
  <c r="C183" i="30"/>
  <c r="C144" i="30"/>
  <c r="D143" i="30" a="1"/>
  <c r="B26" i="46"/>
  <c r="D247" i="30" a="1"/>
  <c r="D217" i="30" a="1"/>
  <c r="C330" i="30"/>
  <c r="D304" i="30" a="1"/>
  <c r="D330" i="30" a="1"/>
  <c r="C333" i="30"/>
  <c r="C312" i="30"/>
  <c r="C280" i="30"/>
  <c r="C285" i="30"/>
  <c r="D266" i="30" a="1"/>
  <c r="C242" i="30"/>
  <c r="D216" i="30" a="1"/>
  <c r="C200" i="30"/>
  <c r="C186" i="30"/>
  <c r="C145" i="30"/>
  <c r="C67" i="30"/>
  <c r="C128" i="30"/>
  <c r="C240" i="30"/>
  <c r="B29" i="46"/>
  <c r="D235" i="30" a="1"/>
  <c r="D241" i="30" a="1"/>
  <c r="D312" i="30" a="1"/>
  <c r="D145" i="30" a="1"/>
  <c r="C37" i="46" l="1"/>
  <c r="D37" i="46" s="1"/>
  <c r="D330" i="30"/>
  <c r="D332" i="30"/>
  <c r="D329" i="30"/>
  <c r="D334" i="30"/>
  <c r="D331" i="30"/>
  <c r="D328" i="30"/>
  <c r="D333" i="30"/>
  <c r="D314" i="30"/>
  <c r="D313" i="30"/>
  <c r="D312" i="30"/>
  <c r="D304" i="30"/>
  <c r="D282" i="30"/>
  <c r="D283" i="30"/>
  <c r="D284" i="30"/>
  <c r="D281" i="30"/>
  <c r="D280" i="30"/>
  <c r="D285" i="30"/>
  <c r="D265" i="30"/>
  <c r="D267" i="30"/>
  <c r="D264" i="30"/>
  <c r="D266" i="30"/>
  <c r="D263" i="30"/>
  <c r="D257" i="30"/>
  <c r="D242" i="30"/>
  <c r="D217" i="30"/>
  <c r="D216" i="30"/>
  <c r="D218" i="30"/>
  <c r="D215" i="30"/>
  <c r="D200" i="30"/>
  <c r="D199" i="30"/>
  <c r="D201" i="30"/>
  <c r="D198" i="30"/>
  <c r="D184" i="30"/>
  <c r="D183" i="30"/>
  <c r="D185" i="30"/>
  <c r="D182" i="30"/>
  <c r="D186" i="30"/>
  <c r="D174" i="30"/>
  <c r="D143" i="30"/>
  <c r="D142" i="30"/>
  <c r="D144" i="30"/>
  <c r="D141" i="30"/>
  <c r="D145" i="30"/>
  <c r="D67" i="30"/>
  <c r="D237" i="30"/>
  <c r="D236" i="30"/>
  <c r="D69" i="30"/>
  <c r="D139" i="30"/>
  <c r="D247" i="30"/>
  <c r="D238" i="30"/>
  <c r="D246" i="30"/>
  <c r="D239" i="30"/>
  <c r="D244" i="30"/>
  <c r="D243" i="30"/>
  <c r="D235" i="30"/>
  <c r="D240" i="30"/>
  <c r="D245" i="30"/>
  <c r="D241" i="30"/>
  <c r="C35" i="46"/>
  <c r="D35" i="46" s="1"/>
  <c r="D128" i="30"/>
  <c r="D127" i="30"/>
  <c r="D3" i="50"/>
  <c r="D3" i="49"/>
  <c r="D3" i="48"/>
  <c r="D3" i="45"/>
  <c r="D3" i="44"/>
  <c r="D3" i="43"/>
  <c r="D3" i="42"/>
  <c r="D3" i="41"/>
  <c r="D3" i="40"/>
  <c r="D3" i="39"/>
  <c r="D3" i="38"/>
  <c r="D3" i="37"/>
  <c r="D3" i="36"/>
  <c r="D3" i="35"/>
  <c r="D3" i="26" l="1"/>
  <c r="D3" i="25"/>
  <c r="D3" i="28"/>
  <c r="D3" i="32" l="1"/>
  <c r="D3" i="23"/>
  <c r="D3" i="16" l="1"/>
  <c r="D3" i="27" l="1"/>
  <c r="D3" i="24" l="1"/>
  <c r="D3" i="22" l="1"/>
  <c r="D3" i="21"/>
  <c r="D3" i="20"/>
  <c r="D3" i="18"/>
  <c r="D3" i="17"/>
  <c r="D3" i="15"/>
  <c r="D3" i="14"/>
  <c r="D3" i="13"/>
  <c r="D3" i="12"/>
  <c r="D3" i="11"/>
  <c r="D3" i="10"/>
  <c r="D3" i="9"/>
  <c r="D3" i="8"/>
  <c r="D3" i="7"/>
  <c r="D3" i="6"/>
  <c r="D3" i="5"/>
  <c r="D255" i="30" a="1"/>
  <c r="C230" i="30"/>
  <c r="D13" i="30" a="1"/>
  <c r="C78" i="30"/>
  <c r="D19" i="30" a="1"/>
  <c r="C42" i="46" a="1"/>
  <c r="D65" i="30" a="1"/>
  <c r="C80" i="30"/>
  <c r="D51" i="30" a="1"/>
  <c r="C43" i="46" a="1"/>
  <c r="C211" i="30"/>
  <c r="C22" i="46" a="1"/>
  <c r="D94" i="30" a="1"/>
  <c r="C8" i="30"/>
  <c r="D288" i="30" a="1"/>
  <c r="D180" i="30" a="1"/>
  <c r="D194" i="30" a="1"/>
  <c r="D268" i="30" a="1"/>
  <c r="C96" i="30"/>
  <c r="D129" i="30" a="1"/>
  <c r="D320" i="30" a="1"/>
  <c r="D225" i="30" a="1"/>
  <c r="D104" i="30" a="1"/>
  <c r="D220" i="30" a="1"/>
  <c r="D297" i="30" a="1"/>
  <c r="C196" i="30"/>
  <c r="D121" i="30" a="1"/>
  <c r="C228" i="30"/>
  <c r="D203" i="30" a="1"/>
  <c r="C38" i="30"/>
  <c r="D49" i="30" a="1"/>
  <c r="D112" i="30" a="1"/>
  <c r="C75" i="30"/>
  <c r="D181" i="30" a="1"/>
  <c r="C20" i="30"/>
  <c r="D323" i="30" a="1"/>
  <c r="C251" i="30"/>
  <c r="D150" i="30" a="1"/>
  <c r="C104" i="30"/>
  <c r="C163" i="30"/>
  <c r="C135" i="30"/>
  <c r="C169" i="30"/>
  <c r="C23" i="46" a="1"/>
  <c r="C130" i="30"/>
  <c r="D224" i="30" a="1"/>
  <c r="C71" i="30"/>
  <c r="C227" i="30"/>
  <c r="D12" i="30" a="1"/>
  <c r="D111" i="30" a="1"/>
  <c r="C100" i="30"/>
  <c r="D21" i="30" a="1"/>
  <c r="D105" i="30" a="1"/>
  <c r="C208" i="30"/>
  <c r="C261" i="30"/>
  <c r="D305" i="30" a="1"/>
  <c r="D100" i="30" a="1"/>
  <c r="D77" i="30" a="1"/>
  <c r="C307" i="30"/>
  <c r="C62" i="30"/>
  <c r="C311" i="30"/>
  <c r="C207" i="30"/>
  <c r="C111" i="30"/>
  <c r="D86" i="30" a="1"/>
  <c r="C296" i="30"/>
  <c r="C12" i="30"/>
  <c r="D60" i="30" a="1"/>
  <c r="D317" i="30" a="1"/>
  <c r="D123" i="30" a="1"/>
  <c r="D28" i="30" a="1"/>
  <c r="D27" i="30" a="1"/>
  <c r="C32" i="46" a="1"/>
  <c r="D44" i="30" a="1"/>
  <c r="D275" i="30" a="1"/>
  <c r="C206" i="30"/>
  <c r="D169" i="30" a="1"/>
  <c r="D17" i="30" a="1"/>
  <c r="D149" i="30" a="1"/>
  <c r="C286" i="30"/>
  <c r="D327" i="30" a="1"/>
  <c r="C248" i="30"/>
  <c r="C15" i="30"/>
  <c r="D315" i="30" a="1"/>
  <c r="D252" i="30" a="1"/>
  <c r="D32" i="30" a="1"/>
  <c r="C202" i="30"/>
  <c r="D168" i="30" a="1"/>
  <c r="D336" i="30" a="1"/>
  <c r="D298" i="30" a="1"/>
  <c r="C177" i="30"/>
  <c r="C29" i="30"/>
  <c r="C38" i="46" a="1"/>
  <c r="C46" i="30"/>
  <c r="D222" i="30" a="1"/>
  <c r="C308" i="30"/>
  <c r="C220" i="30"/>
  <c r="C66" i="30"/>
  <c r="C147" i="30"/>
  <c r="C45" i="30"/>
  <c r="C339" i="30"/>
  <c r="C34" i="30"/>
  <c r="C295" i="30"/>
  <c r="D262" i="30" a="1"/>
  <c r="D258" i="30" a="1"/>
  <c r="D189" i="30" a="1"/>
  <c r="C11" i="46" a="1"/>
  <c r="C178" i="30"/>
  <c r="D59" i="30" a="1"/>
  <c r="C154" i="30"/>
  <c r="C204" i="30"/>
  <c r="C59" i="30"/>
  <c r="D209" i="30" a="1"/>
  <c r="C27" i="46" a="1"/>
  <c r="C7" i="30"/>
  <c r="D287" i="30" a="1"/>
  <c r="C259" i="30"/>
  <c r="C317" i="30"/>
  <c r="D299" i="30" a="1"/>
  <c r="D26" i="30" a="1"/>
  <c r="D204" i="30" a="1"/>
  <c r="C95" i="30"/>
  <c r="D18" i="30" a="1"/>
  <c r="C298" i="30"/>
  <c r="D172" i="30" a="1"/>
  <c r="D34" i="30" a="1"/>
  <c r="D103" i="30" a="1"/>
  <c r="C224" i="30"/>
  <c r="D110" i="30" a="1"/>
  <c r="C23" i="30"/>
  <c r="C12" i="46" a="1"/>
  <c r="D322" i="30" a="1"/>
  <c r="C209" i="30"/>
  <c r="C288" i="30"/>
  <c r="C20" i="46" a="1"/>
  <c r="C300" i="30"/>
  <c r="D234" i="30" a="1"/>
  <c r="C64" i="30"/>
  <c r="C31" i="46" a="1"/>
  <c r="D31" i="30" a="1"/>
  <c r="C337" i="30"/>
  <c r="D325" i="30" a="1"/>
  <c r="D23" i="30" a="1"/>
  <c r="C140" i="30"/>
  <c r="C160" i="30"/>
  <c r="C249" i="30"/>
  <c r="C82" i="30"/>
  <c r="D29" i="30" a="1"/>
  <c r="C90" i="30"/>
  <c r="C115" i="30"/>
  <c r="D81" i="30" a="1"/>
  <c r="C114" i="30"/>
  <c r="D74" i="30" a="1"/>
  <c r="D7" i="30" a="1"/>
  <c r="D71" i="30" a="1"/>
  <c r="D16" i="30" a="1"/>
  <c r="C168" i="30"/>
  <c r="C302" i="30"/>
  <c r="D98" i="30" a="1"/>
  <c r="C325" i="30"/>
  <c r="D156" i="30" a="1"/>
  <c r="C41" i="30"/>
  <c r="D212" i="30" a="1"/>
  <c r="D256" i="30" a="1"/>
  <c r="C120" i="30"/>
  <c r="C11" i="30"/>
  <c r="D278" i="30" a="1"/>
  <c r="D179" i="30" a="1"/>
  <c r="D114" i="30" a="1"/>
  <c r="C335" i="30"/>
  <c r="C318" i="30"/>
  <c r="C291" i="30"/>
  <c r="D146" i="30" a="1"/>
  <c r="D195" i="30" a="1"/>
  <c r="C205" i="30"/>
  <c r="D68" i="30" a="1"/>
  <c r="D249" i="30" a="1"/>
  <c r="C293" i="30"/>
  <c r="D95" i="30" a="1"/>
  <c r="C10" i="30"/>
  <c r="D286" i="30" a="1"/>
  <c r="D326" i="30" a="1"/>
  <c r="C24" i="30"/>
  <c r="D85" i="30" a="1"/>
  <c r="D228" i="30" a="1"/>
  <c r="C76" i="30"/>
  <c r="C315" i="30"/>
  <c r="D88" i="30" a="1"/>
  <c r="C219" i="30"/>
  <c r="D52" i="30" a="1"/>
  <c r="D99" i="30" a="1"/>
  <c r="C18" i="46" a="1"/>
  <c r="C225" i="30"/>
  <c r="D148" i="30" a="1"/>
  <c r="C321" i="30"/>
  <c r="D310" i="30" a="1"/>
  <c r="C250" i="30"/>
  <c r="C191" i="30"/>
  <c r="D64" i="30" a="1"/>
  <c r="D251" i="30" a="1"/>
  <c r="C173" i="30"/>
  <c r="D62" i="30" a="1"/>
  <c r="D140" i="30" a="1"/>
  <c r="C126" i="30"/>
  <c r="C316" i="30"/>
  <c r="C118" i="30"/>
  <c r="C32" i="30"/>
  <c r="C292" i="30"/>
  <c r="D227" i="30" a="1"/>
  <c r="D54" i="30" a="1"/>
  <c r="C290" i="30"/>
  <c r="C221" i="30"/>
  <c r="D316" i="30" a="1"/>
  <c r="C340" i="30"/>
  <c r="C24" i="46" a="1"/>
  <c r="C193" i="30"/>
  <c r="D261" i="30" a="1"/>
  <c r="D157" i="30" a="1"/>
  <c r="D164" i="30" a="1"/>
  <c r="D296" i="30" a="1"/>
  <c r="D307" i="30" a="1"/>
  <c r="C323" i="30"/>
  <c r="D324" i="30" a="1"/>
  <c r="D40" i="30" a="1"/>
  <c r="D306" i="30" a="1"/>
  <c r="D8" i="30" a="1"/>
  <c r="D73" i="30" a="1"/>
  <c r="C91" i="30"/>
  <c r="C48" i="46" a="1"/>
  <c r="D42" i="30" a="1"/>
  <c r="C287" i="30"/>
  <c r="C22" i="30"/>
  <c r="D36" i="30" a="1"/>
  <c r="C40" i="46" a="1"/>
  <c r="D151" i="30" a="1"/>
  <c r="D53" i="30" a="1"/>
  <c r="C48" i="30"/>
  <c r="D72" i="30" a="1"/>
  <c r="D301" i="30" a="1"/>
  <c r="C110" i="30"/>
  <c r="C42" i="30"/>
  <c r="D113" i="30" a="1"/>
  <c r="D37" i="30" a="1"/>
  <c r="D38" i="30" a="1"/>
  <c r="C73" i="30"/>
  <c r="C51" i="30"/>
  <c r="C153" i="30"/>
  <c r="D107" i="30" a="1"/>
  <c r="C72" i="30"/>
  <c r="C49" i="30"/>
  <c r="C260" i="30"/>
  <c r="D84" i="30" a="1"/>
  <c r="D20" i="30" a="1"/>
  <c r="D311" i="30" a="1"/>
  <c r="C105" i="30"/>
  <c r="D117" i="30" a="1"/>
  <c r="D83" i="30" a="1"/>
  <c r="D295" i="30" a="1"/>
  <c r="C13" i="30"/>
  <c r="D269" i="30" a="1"/>
  <c r="D289" i="30" a="1"/>
  <c r="C52" i="30"/>
  <c r="C84" i="30"/>
  <c r="D214" i="30" a="1"/>
  <c r="D35" i="30" a="1"/>
  <c r="D187" i="30" a="1"/>
  <c r="C102" i="30"/>
  <c r="D131" i="30" a="1"/>
  <c r="D210" i="30" a="1"/>
  <c r="D207" i="30" a="1"/>
  <c r="D176" i="30" a="1"/>
  <c r="C27" i="30"/>
  <c r="C39" i="46" a="1"/>
  <c r="D133" i="30" a="1"/>
  <c r="C70" i="30"/>
  <c r="D211" i="30" a="1"/>
  <c r="C19" i="46" a="1"/>
  <c r="C15" i="46" a="1"/>
  <c r="C37" i="30"/>
  <c r="C40" i="30"/>
  <c r="C16" i="46" a="1"/>
  <c r="C166" i="30"/>
  <c r="C233" i="30"/>
  <c r="C18" i="30"/>
  <c r="C79" i="30"/>
  <c r="C269" i="30"/>
  <c r="D250" i="30" a="1"/>
  <c r="C319" i="30"/>
  <c r="C35" i="30"/>
  <c r="D125" i="30" a="1"/>
  <c r="D163" i="30" a="1"/>
  <c r="C125" i="30"/>
  <c r="D162" i="30" a="1"/>
  <c r="D300" i="30" a="1"/>
  <c r="C297" i="30"/>
  <c r="C121" i="30"/>
  <c r="C229" i="30"/>
  <c r="D167" i="30" a="1"/>
  <c r="D75" i="30" a="1"/>
  <c r="D45" i="30" a="1"/>
  <c r="D232" i="30" a="1"/>
  <c r="C136" i="30"/>
  <c r="C133" i="30"/>
  <c r="C170" i="30"/>
  <c r="C8" i="46" a="1"/>
  <c r="D76" i="30" a="1"/>
  <c r="D120" i="30" a="1"/>
  <c r="C158" i="30"/>
  <c r="D152" i="30" a="1"/>
  <c r="C306" i="30"/>
  <c r="D340" i="30" a="1"/>
  <c r="D108" i="30" a="1"/>
  <c r="C17" i="46" a="1"/>
  <c r="C117" i="30"/>
  <c r="D192" i="30" a="1"/>
  <c r="C61" i="30"/>
  <c r="D338" i="30" a="1"/>
  <c r="C46" i="46" a="1"/>
  <c r="D97" i="30" a="1"/>
  <c r="C88" i="30"/>
  <c r="C123" i="30"/>
  <c r="C310" i="30"/>
  <c r="D124" i="30" a="1"/>
  <c r="D78" i="30" a="1"/>
  <c r="D92" i="30" a="1"/>
  <c r="C129" i="30"/>
  <c r="D109" i="30" a="1"/>
  <c r="D24" i="30" a="1"/>
  <c r="C94" i="30"/>
  <c r="D118" i="30" a="1"/>
  <c r="C231" i="30"/>
  <c r="C214" i="30"/>
  <c r="D271" i="30" a="1"/>
  <c r="C190" i="30"/>
  <c r="D89" i="30" a="1"/>
  <c r="C25" i="30"/>
  <c r="C165" i="30"/>
  <c r="D33" i="30" a="1"/>
  <c r="D135" i="30" a="1"/>
  <c r="D202" i="30" a="1"/>
  <c r="C146" i="30"/>
  <c r="D57" i="30" a="1"/>
  <c r="D63" i="30" a="1"/>
  <c r="C25" i="46" a="1"/>
  <c r="C171" i="30"/>
  <c r="D339" i="30" a="1"/>
  <c r="C31" i="30"/>
  <c r="C181" i="30"/>
  <c r="D101" i="30" a="1"/>
  <c r="D10" i="30" a="1"/>
  <c r="C180" i="30"/>
  <c r="D130" i="30" a="1"/>
  <c r="C164" i="30"/>
  <c r="C122" i="30"/>
  <c r="C87" i="30"/>
  <c r="D165" i="30" a="1"/>
  <c r="C156" i="30"/>
  <c r="D170" i="30" a="1"/>
  <c r="D91" i="30" a="1"/>
  <c r="C188" i="30"/>
  <c r="C275" i="30"/>
  <c r="D253" i="30" a="1"/>
  <c r="C58" i="30"/>
  <c r="D160" i="30" a="1"/>
  <c r="C112" i="30"/>
  <c r="C131" i="30"/>
  <c r="C223" i="30"/>
  <c r="C226" i="30"/>
  <c r="C279" i="30"/>
  <c r="C305" i="30"/>
  <c r="D116" i="30" a="1"/>
  <c r="C322" i="30"/>
  <c r="D96" i="30" a="1"/>
  <c r="C113" i="30"/>
  <c r="D231" i="30" a="1"/>
  <c r="D173" i="30" a="1"/>
  <c r="C175" i="30"/>
  <c r="D223" i="30" a="1"/>
  <c r="C151" i="30"/>
  <c r="D248" i="30" a="1"/>
  <c r="C278" i="30"/>
  <c r="D303" i="30" a="1"/>
  <c r="D175" i="30" a="1"/>
  <c r="D70" i="30" a="1"/>
  <c r="C197" i="30"/>
  <c r="D213" i="30" a="1"/>
  <c r="D205" i="30" a="1"/>
  <c r="C41" i="46" a="1"/>
  <c r="D93" i="30" a="1"/>
  <c r="D335" i="30" a="1"/>
  <c r="D136" i="30" a="1"/>
  <c r="C212" i="30"/>
  <c r="D66" i="30" a="1"/>
  <c r="D138" i="30" a="1"/>
  <c r="D254" i="30" a="1"/>
  <c r="C327" i="30"/>
  <c r="C299" i="30"/>
  <c r="D115" i="30" a="1"/>
  <c r="C49" i="46" a="1"/>
  <c r="C85" i="30"/>
  <c r="C30" i="46" a="1"/>
  <c r="D154" i="30" a="1"/>
  <c r="C77" i="30"/>
  <c r="C65" i="30"/>
  <c r="C97" i="30"/>
  <c r="C213" i="30"/>
  <c r="C189" i="30"/>
  <c r="D102" i="30" a="1"/>
  <c r="C262" i="30"/>
  <c r="C44" i="46" a="1"/>
  <c r="C47" i="30"/>
  <c r="D58" i="30" a="1"/>
  <c r="C50" i="30"/>
  <c r="C157" i="30"/>
  <c r="D259" i="30" a="1"/>
  <c r="C19" i="30"/>
  <c r="C124" i="30"/>
  <c r="C289" i="30"/>
  <c r="C60" i="30"/>
  <c r="D55" i="30" a="1"/>
  <c r="C89" i="30"/>
  <c r="C9" i="30"/>
  <c r="C101" i="30"/>
  <c r="C93" i="30"/>
  <c r="D155" i="30" a="1"/>
  <c r="C167" i="30"/>
  <c r="C271" i="30"/>
  <c r="D11" i="30" a="1"/>
  <c r="C194" i="30"/>
  <c r="D79" i="30" a="1"/>
  <c r="D302" i="30" a="1"/>
  <c r="D30" i="30" a="1"/>
  <c r="C33" i="30"/>
  <c r="C303" i="30"/>
  <c r="C272" i="30"/>
  <c r="C336" i="30"/>
  <c r="D229" i="30" a="1"/>
  <c r="D61" i="30" a="1"/>
  <c r="C54" i="30"/>
  <c r="C36" i="30"/>
  <c r="D15" i="30" a="1"/>
  <c r="C148" i="30"/>
  <c r="C159" i="30"/>
  <c r="C132" i="30"/>
  <c r="D273" i="30" a="1"/>
  <c r="C192" i="30"/>
  <c r="D233" i="30" a="1"/>
  <c r="D309" i="30" a="1"/>
  <c r="C176" i="30"/>
  <c r="C252" i="30"/>
  <c r="C108" i="30"/>
  <c r="C254" i="30"/>
  <c r="D226" i="30" a="1"/>
  <c r="C30" i="30"/>
  <c r="D260" i="30" a="1"/>
  <c r="C107" i="30"/>
  <c r="C10" i="46" a="1"/>
  <c r="C155" i="30"/>
  <c r="C103" i="30"/>
  <c r="D80" i="30" a="1"/>
  <c r="D206" i="30" a="1"/>
  <c r="D119" i="30" a="1"/>
  <c r="C134" i="30"/>
  <c r="D190" i="30" a="1"/>
  <c r="D82" i="30" a="1"/>
  <c r="C28" i="30"/>
  <c r="C309" i="30"/>
  <c r="C253" i="30"/>
  <c r="C172" i="30"/>
  <c r="C161" i="30"/>
  <c r="C98" i="30"/>
  <c r="C273" i="30"/>
  <c r="D25" i="30" a="1"/>
  <c r="D191" i="30" a="1"/>
  <c r="C294" i="30"/>
  <c r="C83" i="30"/>
  <c r="D47" i="30" a="1"/>
  <c r="C26" i="46" a="1"/>
  <c r="D132" i="30" a="1"/>
  <c r="C152" i="30"/>
  <c r="D221" i="30" a="1"/>
  <c r="D291" i="30" a="1"/>
  <c r="C68" i="30"/>
  <c r="C17" i="30"/>
  <c r="C137" i="30"/>
  <c r="D318" i="30" a="1"/>
  <c r="C195" i="30"/>
  <c r="C106" i="30"/>
  <c r="D126" i="30" a="1"/>
  <c r="D230" i="30" a="1"/>
  <c r="D337" i="30" a="1"/>
  <c r="C16" i="30"/>
  <c r="C109" i="30"/>
  <c r="D87" i="30" a="1"/>
  <c r="C14" i="30"/>
  <c r="D290" i="30" a="1"/>
  <c r="C34" i="46" a="1"/>
  <c r="C277" i="30"/>
  <c r="D308" i="30" a="1"/>
  <c r="D41" i="30" a="1"/>
  <c r="C26" i="30"/>
  <c r="C74" i="30"/>
  <c r="D293" i="30" a="1"/>
  <c r="C14" i="46" a="1"/>
  <c r="C268" i="30"/>
  <c r="C92" i="30"/>
  <c r="C28" i="46" a="1"/>
  <c r="D50" i="30" a="1"/>
  <c r="C203" i="30"/>
  <c r="D166" i="30" a="1"/>
  <c r="C149" i="30"/>
  <c r="C53" i="30"/>
  <c r="C56" i="30"/>
  <c r="D272" i="30" a="1"/>
  <c r="D159" i="30" a="1"/>
  <c r="D196" i="30" a="1"/>
  <c r="C256" i="30"/>
  <c r="D178" i="30" a="1"/>
  <c r="C29" i="46" a="1"/>
  <c r="D193" i="30" a="1"/>
  <c r="C86" i="30"/>
  <c r="D153" i="30" a="1"/>
  <c r="D208" i="30" a="1"/>
  <c r="C57" i="30"/>
  <c r="C276" i="30"/>
  <c r="C338" i="30"/>
  <c r="C162" i="30"/>
  <c r="C274" i="30"/>
  <c r="D161" i="30" a="1"/>
  <c r="C99" i="30"/>
  <c r="D274" i="30" a="1"/>
  <c r="C47" i="46" a="1"/>
  <c r="C187" i="30"/>
  <c r="C326" i="30"/>
  <c r="C210" i="30"/>
  <c r="D147" i="30" a="1"/>
  <c r="C232" i="30"/>
  <c r="C36" i="46" a="1"/>
  <c r="D319" i="30" a="1"/>
  <c r="D276" i="30" a="1"/>
  <c r="D292" i="30" a="1"/>
  <c r="C55" i="30"/>
  <c r="C81" i="30"/>
  <c r="C150" i="30"/>
  <c r="D188" i="30" a="1"/>
  <c r="C258" i="30"/>
  <c r="C45" i="46" a="1"/>
  <c r="D43" i="30" a="1"/>
  <c r="C179" i="30"/>
  <c r="D48" i="30" a="1"/>
  <c r="D39" i="30" a="1"/>
  <c r="C320" i="30"/>
  <c r="C7" i="46" a="1"/>
  <c r="D106" i="30" a="1"/>
  <c r="C13" i="46" a="1"/>
  <c r="D56" i="30" a="1"/>
  <c r="D279" i="30" a="1"/>
  <c r="D9" i="30" a="1"/>
  <c r="C301" i="30"/>
  <c r="C119" i="30"/>
  <c r="D46" i="30" a="1"/>
  <c r="C270" i="30"/>
  <c r="D197" i="30" a="1"/>
  <c r="C39" i="30"/>
  <c r="C116" i="30"/>
  <c r="C43" i="30"/>
  <c r="C234" i="30"/>
  <c r="C44" i="30"/>
  <c r="D14" i="30" a="1"/>
  <c r="C222" i="30"/>
  <c r="D134" i="30" a="1"/>
  <c r="C9" i="46" a="1"/>
  <c r="D122" i="30" a="1"/>
  <c r="D22" i="30" a="1"/>
  <c r="D219" i="30" a="1"/>
  <c r="D294" i="30" a="1"/>
  <c r="D137" i="30" a="1"/>
  <c r="C324" i="30"/>
  <c r="D90" i="30" a="1"/>
  <c r="D158" i="30" a="1"/>
  <c r="C63" i="30"/>
  <c r="D270" i="30" a="1"/>
  <c r="C21" i="30"/>
  <c r="C255" i="30"/>
  <c r="C138" i="30"/>
  <c r="D321" i="30" a="1"/>
  <c r="D177" i="30" a="1"/>
  <c r="D277" i="30" a="1"/>
  <c r="D171" i="30" a="1"/>
  <c r="D22" i="30" l="1"/>
  <c r="D131" i="30"/>
  <c r="D291" i="30"/>
  <c r="D81" i="30"/>
  <c r="D40" i="30"/>
  <c r="D309" i="30"/>
  <c r="C20" i="46"/>
  <c r="D20" i="46" s="1"/>
  <c r="D306" i="30"/>
  <c r="D32" i="30"/>
  <c r="D49" i="30"/>
  <c r="D187" i="30"/>
  <c r="D93" i="30"/>
  <c r="D105" i="30"/>
  <c r="D154" i="30"/>
  <c r="D192" i="30"/>
  <c r="D9" i="30"/>
  <c r="D125" i="30"/>
  <c r="D196" i="30"/>
  <c r="D72" i="30"/>
  <c r="D320" i="30"/>
  <c r="D115" i="30"/>
  <c r="D94" i="30"/>
  <c r="C15" i="46"/>
  <c r="D15" i="46" s="1"/>
  <c r="C44" i="46"/>
  <c r="D44" i="46" s="1"/>
  <c r="D53" i="30"/>
  <c r="D250" i="30"/>
  <c r="D324" i="30"/>
  <c r="D209" i="30"/>
  <c r="D275" i="30"/>
  <c r="D21" i="30"/>
  <c r="D148" i="30"/>
  <c r="D36" i="30"/>
  <c r="D290" i="30"/>
  <c r="D51" i="30"/>
  <c r="D33" i="30"/>
  <c r="D210" i="30"/>
  <c r="D91" i="30"/>
  <c r="D163" i="30"/>
  <c r="D167" i="30"/>
  <c r="D99" i="30"/>
  <c r="D286" i="30"/>
  <c r="D87" i="30"/>
  <c r="D253" i="30"/>
  <c r="D219" i="30"/>
  <c r="D80" i="30"/>
  <c r="D223" i="30"/>
  <c r="D173" i="30"/>
  <c r="D158" i="30"/>
  <c r="D38" i="30"/>
  <c r="D35" i="30"/>
  <c r="D83" i="30"/>
  <c r="D226" i="30"/>
  <c r="D234" i="30"/>
  <c r="D317" i="30"/>
  <c r="D146" i="30"/>
  <c r="D159" i="30"/>
  <c r="D34" i="30"/>
  <c r="D43" i="30"/>
  <c r="D181" i="30"/>
  <c r="D178" i="30"/>
  <c r="D114" i="30"/>
  <c r="D75" i="30"/>
  <c r="D147" i="30"/>
  <c r="D129" i="30"/>
  <c r="D156" i="30"/>
  <c r="D221" i="30"/>
  <c r="D124" i="30"/>
  <c r="D270" i="30"/>
  <c r="D262" i="30"/>
  <c r="D326" i="30"/>
  <c r="D120" i="30"/>
  <c r="D151" i="30"/>
  <c r="D316" i="30"/>
  <c r="D20" i="30"/>
  <c r="C32" i="46"/>
  <c r="D32" i="46" s="1"/>
  <c r="D25" i="30"/>
  <c r="D260" i="30"/>
  <c r="D52" i="30"/>
  <c r="D231" i="30"/>
  <c r="D271" i="30"/>
  <c r="D82" i="30"/>
  <c r="D214" i="30"/>
  <c r="D310" i="30"/>
  <c r="D60" i="30"/>
  <c r="D169" i="30"/>
  <c r="D202" i="30"/>
  <c r="D205" i="30"/>
  <c r="D54" i="30"/>
  <c r="D248" i="30"/>
  <c r="C45" i="46"/>
  <c r="D45" i="46" s="1"/>
  <c r="D203" i="30"/>
  <c r="D211" i="30"/>
  <c r="D179" i="30"/>
  <c r="D106" i="30"/>
  <c r="D119" i="30"/>
  <c r="D272" i="30"/>
  <c r="D225" i="30"/>
  <c r="D172" i="30"/>
  <c r="D165" i="30"/>
  <c r="D76" i="30"/>
  <c r="D23" i="30"/>
  <c r="D65" i="30"/>
  <c r="D15" i="30"/>
  <c r="D222" i="30"/>
  <c r="D193" i="30"/>
  <c r="D84" i="30"/>
  <c r="D327" i="30"/>
  <c r="D118" i="30"/>
  <c r="D311" i="30"/>
  <c r="D18" i="30"/>
  <c r="D171" i="30"/>
  <c r="D137" i="30"/>
  <c r="D112" i="30"/>
  <c r="D63" i="30"/>
  <c r="C14" i="46"/>
  <c r="D14" i="46" s="1"/>
  <c r="D227" i="30"/>
  <c r="D287" i="30"/>
  <c r="D111" i="30"/>
  <c r="C49" i="46"/>
  <c r="D49" i="46" s="1"/>
  <c r="D213" i="30"/>
  <c r="D278" i="30"/>
  <c r="D30" i="30"/>
  <c r="D155" i="30"/>
  <c r="D102" i="30"/>
  <c r="D322" i="30"/>
  <c r="D98" i="30"/>
  <c r="D27" i="30"/>
  <c r="D307" i="30"/>
  <c r="D62" i="30"/>
  <c r="C8" i="46"/>
  <c r="D8" i="46" s="1"/>
  <c r="D95" i="30"/>
  <c r="C42" i="46"/>
  <c r="D42" i="46" s="1"/>
  <c r="D251" i="30"/>
  <c r="D254" i="30"/>
  <c r="D134" i="30"/>
  <c r="D337" i="30"/>
  <c r="D101" i="30"/>
  <c r="D37" i="30"/>
  <c r="D96" i="30"/>
  <c r="D42" i="30"/>
  <c r="D268" i="30"/>
  <c r="D77" i="30"/>
  <c r="D190" i="30"/>
  <c r="D294" i="30"/>
  <c r="D88" i="30"/>
  <c r="D293" i="30"/>
  <c r="D130" i="30"/>
  <c r="D273" i="30"/>
  <c r="D29" i="30"/>
  <c r="C10" i="46"/>
  <c r="D10" i="46" s="1"/>
  <c r="D302" i="30"/>
  <c r="D12" i="30"/>
  <c r="D44" i="30"/>
  <c r="C12" i="46"/>
  <c r="D12" i="46" s="1"/>
  <c r="D133" i="30"/>
  <c r="D56" i="30"/>
  <c r="C17" i="46"/>
  <c r="D17" i="46" s="1"/>
  <c r="D121" i="30"/>
  <c r="D296" i="30"/>
  <c r="C7" i="46"/>
  <c r="D7" i="46" s="1"/>
  <c r="D318" i="30"/>
  <c r="D259" i="30"/>
  <c r="D59" i="30"/>
  <c r="D64" i="30"/>
  <c r="D138" i="30"/>
  <c r="D89" i="30"/>
  <c r="D19" i="30"/>
  <c r="D24" i="30"/>
  <c r="D90" i="30"/>
  <c r="D204" i="30"/>
  <c r="D230" i="30"/>
  <c r="D197" i="30"/>
  <c r="D113" i="30"/>
  <c r="C48" i="46"/>
  <c r="D48" i="46" s="1"/>
  <c r="D194" i="30"/>
  <c r="D86" i="30"/>
  <c r="D100" i="30"/>
  <c r="D47" i="30"/>
  <c r="D289" i="30"/>
  <c r="D292" i="30"/>
  <c r="D57" i="30"/>
  <c r="D70" i="30"/>
  <c r="D74" i="30"/>
  <c r="D79" i="30"/>
  <c r="D279" i="30"/>
  <c r="C39" i="46"/>
  <c r="D39" i="46" s="1"/>
  <c r="C13" i="46"/>
  <c r="D13" i="46" s="1"/>
  <c r="D97" i="30"/>
  <c r="D108" i="30"/>
  <c r="C47" i="46"/>
  <c r="D47" i="46" s="1"/>
  <c r="D164" i="30"/>
  <c r="D249" i="30"/>
  <c r="D61" i="30"/>
  <c r="C38" i="46"/>
  <c r="D38" i="46" s="1"/>
  <c r="D321" i="30"/>
  <c r="D66" i="30"/>
  <c r="D109" i="30"/>
  <c r="D168" i="30"/>
  <c r="D26" i="30"/>
  <c r="D46" i="30"/>
  <c r="D180" i="30"/>
  <c r="D126" i="30"/>
  <c r="D277" i="30"/>
  <c r="D305" i="30"/>
  <c r="D339" i="30"/>
  <c r="D116" i="30"/>
  <c r="D10" i="30"/>
  <c r="D276" i="30"/>
  <c r="D135" i="30"/>
  <c r="D175" i="30"/>
  <c r="D269" i="30"/>
  <c r="D149" i="30"/>
  <c r="D325" i="30"/>
  <c r="D110" i="30"/>
  <c r="D28" i="30"/>
  <c r="C46" i="46"/>
  <c r="D46" i="46" s="1"/>
  <c r="D340" i="30"/>
  <c r="D274" i="30"/>
  <c r="D150" i="30"/>
  <c r="D297" i="30"/>
  <c r="D157" i="30"/>
  <c r="D256" i="30"/>
  <c r="D39" i="30"/>
  <c r="D208" i="30"/>
  <c r="D166" i="30"/>
  <c r="D68" i="30"/>
  <c r="D16" i="30"/>
  <c r="D229" i="30"/>
  <c r="C11" i="46"/>
  <c r="D11" i="46" s="1"/>
  <c r="D300" i="30"/>
  <c r="C16" i="46"/>
  <c r="D16" i="46" s="1"/>
  <c r="D299" i="30"/>
  <c r="D13" i="30"/>
  <c r="D107" i="30"/>
  <c r="D288" i="30"/>
  <c r="D298" i="30"/>
  <c r="D73" i="30"/>
  <c r="D41" i="30"/>
  <c r="D336" i="30"/>
  <c r="D319" i="30"/>
  <c r="D252" i="30"/>
  <c r="D228" i="30"/>
  <c r="D303" i="30"/>
  <c r="D17" i="30"/>
  <c r="D315" i="30"/>
  <c r="D122" i="30"/>
  <c r="D176" i="30"/>
  <c r="D233" i="30"/>
  <c r="D224" i="30"/>
  <c r="D261" i="30"/>
  <c r="D48" i="30"/>
  <c r="D117" i="30"/>
  <c r="D220" i="30"/>
  <c r="D212" i="30"/>
  <c r="D11" i="30"/>
  <c r="D58" i="30"/>
  <c r="D153" i="30"/>
  <c r="D14" i="30"/>
  <c r="D71" i="30"/>
  <c r="D92" i="30"/>
  <c r="D338" i="30"/>
  <c r="D170" i="30"/>
  <c r="D232" i="30"/>
  <c r="D136" i="30"/>
  <c r="D189" i="30"/>
  <c r="D140" i="30"/>
  <c r="D160" i="30"/>
  <c r="D162" i="30"/>
  <c r="D177" i="30"/>
  <c r="D132" i="30"/>
  <c r="D301" i="30"/>
  <c r="D8" i="30"/>
  <c r="D308" i="30"/>
  <c r="D191" i="30"/>
  <c r="D85" i="30"/>
  <c r="D206" i="30"/>
  <c r="C9" i="46"/>
  <c r="D9" i="46" s="1"/>
  <c r="D207" i="30"/>
  <c r="D295" i="30"/>
  <c r="D31" i="30"/>
  <c r="D103" i="30"/>
  <c r="D123" i="30"/>
  <c r="D188" i="30"/>
  <c r="C36" i="46"/>
  <c r="D36" i="46" s="1"/>
  <c r="D161" i="30"/>
  <c r="D323" i="30"/>
  <c r="D104" i="30"/>
  <c r="D55" i="30"/>
  <c r="D50" i="30"/>
  <c r="D195" i="30"/>
  <c r="D7" i="30"/>
  <c r="D152" i="30"/>
  <c r="D45" i="30"/>
  <c r="D335" i="30"/>
  <c r="D258" i="30"/>
  <c r="D78" i="30"/>
  <c r="D255" i="30"/>
  <c r="C34" i="46"/>
  <c r="D34" i="46" s="1"/>
  <c r="C26" i="46"/>
  <c r="D26" i="46" s="1"/>
  <c r="C24" i="46"/>
  <c r="D24" i="46" s="1"/>
  <c r="C41" i="46"/>
  <c r="D41" i="46" s="1"/>
  <c r="C29" i="46"/>
  <c r="D29" i="46" s="1"/>
  <c r="C23" i="46"/>
  <c r="D23" i="46" s="1"/>
  <c r="C18" i="46"/>
  <c r="D18" i="46" s="1"/>
  <c r="C19" i="46"/>
  <c r="D19" i="46" s="1"/>
  <c r="C40" i="46"/>
  <c r="D40" i="46" s="1"/>
  <c r="C30" i="46"/>
  <c r="D30" i="46" s="1"/>
  <c r="C25" i="46"/>
  <c r="D25" i="46" s="1"/>
  <c r="C28" i="46"/>
  <c r="D28" i="46" s="1"/>
  <c r="C27" i="46"/>
  <c r="D27" i="46" s="1"/>
  <c r="C43" i="46"/>
  <c r="D43" i="46" s="1"/>
  <c r="C31" i="46"/>
  <c r="D31" i="46" s="1"/>
  <c r="C22" i="46"/>
  <c r="D22" i="46" s="1"/>
  <c r="D3" i="2"/>
  <c r="C21" i="46" a="1"/>
  <c r="C21" i="46" l="1"/>
  <c r="D21" i="46" s="1"/>
  <c r="D3" i="1"/>
  <c r="C33" i="46" a="1"/>
  <c r="C33" i="46" l="1"/>
  <c r="D3" i="46" l="1"/>
  <c r="D33" i="4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<sst xmlns="http://schemas.openxmlformats.org/spreadsheetml/2006/main" count="954" uniqueCount="394">
  <si>
    <t>REPORT DATE:</t>
  </si>
  <si>
    <t>NUMBER OF PROGRAMS:</t>
  </si>
  <si>
    <t xml:space="preserve">CLIENT NAME
</t>
  </si>
  <si>
    <t>TRAINER NAME</t>
  </si>
  <si>
    <t>DATE OF TEST</t>
  </si>
  <si>
    <t>DATE OF PROGRAM DISPATCH</t>
  </si>
  <si>
    <t xml:space="preserve">اسم العميل
</t>
  </si>
  <si>
    <t>اسم المدرّب</t>
  </si>
  <si>
    <t>تاريخ الفحص</t>
  </si>
  <si>
    <t>تاريخ ارسال الجدول</t>
  </si>
  <si>
    <t>Saud Turki Alqasir</t>
  </si>
  <si>
    <t>Rachid Choukhmane</t>
  </si>
  <si>
    <t>Hicham Mahboub</t>
  </si>
  <si>
    <t>Ahmed Maher Elsayed Abdelaal</t>
  </si>
  <si>
    <t>Mohammed Mahdi Adham Nabhan</t>
  </si>
  <si>
    <t>Abdessamade Moudakkir</t>
  </si>
  <si>
    <t>Abdul Raouf Mustafa</t>
  </si>
  <si>
    <t>Abdallah Mohamed Ali</t>
  </si>
  <si>
    <t>Houssam Ali Elsheshtawy</t>
  </si>
  <si>
    <t xml:space="preserve">CLUB NAME
</t>
  </si>
  <si>
    <t xml:space="preserve">اسم النادي
</t>
  </si>
  <si>
    <t>AlUla</t>
  </si>
  <si>
    <t>DMM - Al Athir</t>
  </si>
  <si>
    <t>DMM - Al Jameyeen</t>
  </si>
  <si>
    <t>DMM - Hufof</t>
  </si>
  <si>
    <t>DMM - Khobar</t>
  </si>
  <si>
    <t>JED - Hamadania</t>
  </si>
  <si>
    <t>MED - Shouran</t>
  </si>
  <si>
    <t>MED - Taiba</t>
  </si>
  <si>
    <t>RUH - Al Badia</t>
  </si>
  <si>
    <t>RUH - Al Fayha</t>
  </si>
  <si>
    <t>RUH - Al Kharj</t>
  </si>
  <si>
    <t>RUH - Al Nahda</t>
  </si>
  <si>
    <t>RUH - Badr</t>
  </si>
  <si>
    <t>RUH - Eshbilia</t>
  </si>
  <si>
    <t>RUH - Ezdehar</t>
  </si>
  <si>
    <t>RUH - Murooj</t>
  </si>
  <si>
    <t>RUH - Shubra</t>
  </si>
  <si>
    <t>Uhud</t>
  </si>
  <si>
    <t>JED - Makkah</t>
  </si>
  <si>
    <t>Abdullah Abdulrahman</t>
  </si>
  <si>
    <t>Hassan Ait Hmida</t>
  </si>
  <si>
    <t>Ahmad Abdelgafour Omar Ahmad</t>
  </si>
  <si>
    <t>Abbas Okasha</t>
  </si>
  <si>
    <t>Abd Elramhan Mokhtar</t>
  </si>
  <si>
    <t>Abdallah Kandaly</t>
  </si>
  <si>
    <t>Mahmoud Al Bihery</t>
  </si>
  <si>
    <t>Hesham Galal Mahmoud</t>
  </si>
  <si>
    <t>Abdel Ghafour Bahja</t>
  </si>
  <si>
    <t>Abdelaziz Mohi Eldin Elkhouli</t>
  </si>
  <si>
    <t>Abderrazak Sihabi</t>
  </si>
  <si>
    <t>Faraj Lakaira</t>
  </si>
  <si>
    <t>Mahmoud Mohamed</t>
  </si>
  <si>
    <t>Achraf Fadlallah</t>
  </si>
  <si>
    <t>Adawi Abdelmounnmadawi</t>
  </si>
  <si>
    <t>Bilel Azhar Yakoubi</t>
  </si>
  <si>
    <t>Ahmed Maher Ahmed Nasrelden</t>
  </si>
  <si>
    <t>Abdelaziz El Maydy</t>
  </si>
  <si>
    <t>Ahmed Khaled</t>
  </si>
  <si>
    <t>Abdulrahman Ali</t>
  </si>
  <si>
    <t>Hesham Adel Almarshoud</t>
  </si>
  <si>
    <t>Hamza Moustaghfir</t>
  </si>
  <si>
    <t>Khalid Karmou</t>
  </si>
  <si>
    <t>Abd Elrahem Al Ouina</t>
  </si>
  <si>
    <t>Abdullah Mohammed Alhamdni</t>
  </si>
  <si>
    <t>Ibrahim Nasr</t>
  </si>
  <si>
    <t>Mohamed Ait Ayad</t>
  </si>
  <si>
    <t>Karim Abdala Wassal</t>
  </si>
  <si>
    <t>Anas Mohmmed Alshanqiti</t>
  </si>
  <si>
    <t>Abdulwahab Ahmed Saad Al Ghamdi</t>
  </si>
  <si>
    <t>Adil Chahmi</t>
  </si>
  <si>
    <t>Hicham Mouhime</t>
  </si>
  <si>
    <t>Mohamed Hamdan Mohamed</t>
  </si>
  <si>
    <t>Majid Abdessamad</t>
  </si>
  <si>
    <t>Kamel Mohammed Kamel</t>
  </si>
  <si>
    <t>Hesham Rady Ismail Rady</t>
  </si>
  <si>
    <t>Amr Ahmed Abdellatif Rabia</t>
  </si>
  <si>
    <t>Ahmed Khaled El Said</t>
  </si>
  <si>
    <t>Ali Ahmed Alkhadhir</t>
  </si>
  <si>
    <t>Hicham Hassi</t>
  </si>
  <si>
    <t>Joesel Bodota Casimiro</t>
  </si>
  <si>
    <t>Shehab Ashraf Mohamady Ibrahim</t>
  </si>
  <si>
    <t>Abed AlWasi</t>
  </si>
  <si>
    <t>Mohamed Ibrahim Mohamed</t>
  </si>
  <si>
    <t>Khaled Al-Masouri</t>
  </si>
  <si>
    <t>Mohamed Gamea</t>
  </si>
  <si>
    <t>Mohammed Joharji</t>
  </si>
  <si>
    <t>Lakhdari Abdellatif</t>
  </si>
  <si>
    <t>Amgad Hussein Abbas Abdulaal</t>
  </si>
  <si>
    <t>Amine Korchi</t>
  </si>
  <si>
    <t>Hicham Toualbi</t>
  </si>
  <si>
    <t>Mohamed Moustafa Ahmad</t>
  </si>
  <si>
    <t>Mhamed Oulahssine</t>
  </si>
  <si>
    <t>Khalled Saeed Saeed Alhasany</t>
  </si>
  <si>
    <t>Mohamd Refai Mohamd</t>
  </si>
  <si>
    <t>Mohsen Hadikhamis</t>
  </si>
  <si>
    <t>Cherif Bin Ahmed Khlifi</t>
  </si>
  <si>
    <t>Hicham Oulias</t>
  </si>
  <si>
    <t>Mohamed Abdel Moeti</t>
  </si>
  <si>
    <t>Jamal Halabi Assiri</t>
  </si>
  <si>
    <t>Khalid Mahmoud Saleh</t>
  </si>
  <si>
    <t>Musa Eltom Ahmed</t>
  </si>
  <si>
    <t>Sami Serrar</t>
  </si>
  <si>
    <t>Omar Al Shankety</t>
  </si>
  <si>
    <t>Mohammed Mustafa Himsi</t>
  </si>
  <si>
    <t>Mohamed Soliman Ragab</t>
  </si>
  <si>
    <t>Mostafa Mahmoud Sayed Mohamed</t>
  </si>
  <si>
    <t>El Mehdi Adnani</t>
  </si>
  <si>
    <t>Ibrahim Ali Ismaiel Ibrahim</t>
  </si>
  <si>
    <t>Nabil Essahraoui</t>
  </si>
  <si>
    <t>Ramy Alla Tawfeak Ahmed</t>
  </si>
  <si>
    <t>Mahmoud Farouk Abdel Karim Badawi</t>
  </si>
  <si>
    <t>Tarik Maarouf</t>
  </si>
  <si>
    <t>Mohammed Abdullah Alquwaya</t>
  </si>
  <si>
    <t>Yassin Mbarek</t>
  </si>
  <si>
    <t>Mohamed Abdellatif Radwan</t>
  </si>
  <si>
    <t>Mohamed Fouad Amer</t>
  </si>
  <si>
    <t>Radwan Mohamed Radwan</t>
  </si>
  <si>
    <t>Sofiane Sadiq</t>
  </si>
  <si>
    <t>Sheref Ashraf Mohamed</t>
  </si>
  <si>
    <t>Rabah Salamah Alhujuri</t>
  </si>
  <si>
    <t>Khalifa Hassan Khalifa Nahrawy</t>
  </si>
  <si>
    <t>Ibrahim Pokoti</t>
  </si>
  <si>
    <t>Yassine El Barnoussi</t>
  </si>
  <si>
    <t>Rhey Anthony T. Munez</t>
  </si>
  <si>
    <t>Mohammed Bstan Abd Aljwad</t>
  </si>
  <si>
    <t>Wajih Kamal Matoussi</t>
  </si>
  <si>
    <t>Mohamed Abdelsalam Deyab</t>
  </si>
  <si>
    <t>Shahid Elkhalfy</t>
  </si>
  <si>
    <t>Tawfik Jukh</t>
  </si>
  <si>
    <t>Samer Mohammed Abas Kamber</t>
  </si>
  <si>
    <t>Mohamad Mahdim Alqahtani</t>
  </si>
  <si>
    <t>Youssef Al Habib Trabelsi</t>
  </si>
  <si>
    <t>Mohammed Mubarak Mohammed Aldawsari</t>
  </si>
  <si>
    <t>Osman Nagi Osman</t>
  </si>
  <si>
    <t>Mohamed Elsayed Elzeftawy</t>
  </si>
  <si>
    <t>Radi Gamal Osman Hussein</t>
  </si>
  <si>
    <t>Mohamed Khalid Manni</t>
  </si>
  <si>
    <t>Tariq Abdulrahman Basharahil</t>
  </si>
  <si>
    <t>Nader Maayouf Saleh</t>
  </si>
  <si>
    <t>Abed Al Menhem Mhamad</t>
  </si>
  <si>
    <t>Mhamad El Ebri</t>
  </si>
  <si>
    <t>Chehab Al Dine Al Salihi</t>
  </si>
  <si>
    <t>Mohamad Rida Irabi</t>
  </si>
  <si>
    <t>Mahmoud Abed El Rahim</t>
  </si>
  <si>
    <t>Captain Housein Ali Joumaa</t>
  </si>
  <si>
    <t>Diyaa Al Jraydan</t>
  </si>
  <si>
    <t>Khalid Mouazen</t>
  </si>
  <si>
    <t>Mohamad Touri</t>
  </si>
  <si>
    <t>Mahmoud Abdel Rahim Senussi</t>
  </si>
  <si>
    <t>Ossama Almaslout</t>
  </si>
  <si>
    <t>Amer Abid</t>
  </si>
  <si>
    <t>Mohammed Hida</t>
  </si>
  <si>
    <t>Youssef Lekal</t>
  </si>
  <si>
    <t>Hamza Berahhou</t>
  </si>
  <si>
    <t>Hamza Said</t>
  </si>
  <si>
    <t>Oussama Elbaz</t>
  </si>
  <si>
    <t>Alaa Fathy</t>
  </si>
  <si>
    <t>Hany Mohamed Yousif Elhadad</t>
  </si>
  <si>
    <t>Sleiman Al Tayyar</t>
  </si>
  <si>
    <t>Abed El Hakim Sahou</t>
  </si>
  <si>
    <t>Anouar Aghmour</t>
  </si>
  <si>
    <t>Mohammad Souud</t>
  </si>
  <si>
    <t>Ahmed Keshk</t>
  </si>
  <si>
    <t>Jayson Atlano</t>
  </si>
  <si>
    <t>Mahmoud Abdel Rahim Senussi Kame</t>
  </si>
  <si>
    <t>Adnan Abdallah Aljahny</t>
  </si>
  <si>
    <t>Abdallah Kamal Ahmad Sayid</t>
  </si>
  <si>
    <t>Adnan Abdallah Al Jahni</t>
  </si>
  <si>
    <t>Omar Saoud</t>
  </si>
  <si>
    <t>Mohamed Saeed</t>
  </si>
  <si>
    <t>Karim Hosny Ahmad</t>
  </si>
  <si>
    <t>Mohaned Ahmad</t>
  </si>
  <si>
    <t>Chady Taha Abdel Rahman</t>
  </si>
  <si>
    <t>Omar Ismael</t>
  </si>
  <si>
    <t>Yassine Abbich</t>
  </si>
  <si>
    <t>Mohamed Ibrahim Ibrahim Abouelrous</t>
  </si>
  <si>
    <t>LAST 7 DAYS</t>
  </si>
  <si>
    <t>MONTH TO DATE</t>
  </si>
  <si>
    <t>YEAR TO DATE</t>
  </si>
  <si>
    <t>آخر 7 أيام</t>
  </si>
  <si>
    <t>منذ بداية الشهر حتى اليوم</t>
  </si>
  <si>
    <t>منذ بداية السنة حتى اليوم</t>
  </si>
  <si>
    <t>RUH - Al Khaleej</t>
  </si>
  <si>
    <t>Ahmad Ramadan</t>
  </si>
  <si>
    <t>Chouaib Suilmi</t>
  </si>
  <si>
    <t>Abdelrahman Mohamed</t>
  </si>
  <si>
    <t>Mourad Belgacem</t>
  </si>
  <si>
    <t>Moustafa Nasser Abd Elkader</t>
  </si>
  <si>
    <t>Amr El Sayed Abdelhamid</t>
  </si>
  <si>
    <t>Hussein Elsayed</t>
  </si>
  <si>
    <t>Moamed Ata</t>
  </si>
  <si>
    <t>Mohannad Hani</t>
  </si>
  <si>
    <t>Ahmed Elsayed</t>
  </si>
  <si>
    <t>Mohamed Fathi Abdulsattar</t>
  </si>
  <si>
    <t>Kamal Al-Rayes</t>
  </si>
  <si>
    <t>Asser Al-Sheikh</t>
  </si>
  <si>
    <t>Ibrahim Mostafa</t>
  </si>
  <si>
    <t>Adel Ali Mohamed</t>
  </si>
  <si>
    <t>RUH - Takhasousi</t>
  </si>
  <si>
    <t>RUH - Swaidi</t>
  </si>
  <si>
    <t>RUH - Salam</t>
  </si>
  <si>
    <t>RUH - Rabwa</t>
  </si>
  <si>
    <t>RUH - Muzahmiyah</t>
  </si>
  <si>
    <t>JED - Al Rawdah</t>
  </si>
  <si>
    <t>Hafr El Batin</t>
  </si>
  <si>
    <t>ALQ - Unaizah</t>
  </si>
  <si>
    <t>ALQ - Buraidah</t>
  </si>
  <si>
    <t>ALQ - Al Rass</t>
  </si>
  <si>
    <t>Mahmoud El-Sayed Abdelwareth Radwan</t>
  </si>
  <si>
    <t>Sabry Ali Abdelmonem Ezzah</t>
  </si>
  <si>
    <t>Abdallah Lazam Faisal Al-Asadi</t>
  </si>
  <si>
    <t>Enrique Jr Ravallo-Macorol</t>
  </si>
  <si>
    <t>Mohamed Ibrahim Abdelaal</t>
  </si>
  <si>
    <t>Ahmed Saad Elmamlouk</t>
  </si>
  <si>
    <t>Hicham Hemsi</t>
  </si>
  <si>
    <t>Yousef Bou Kentar</t>
  </si>
  <si>
    <t>Kamis Zamzam</t>
  </si>
  <si>
    <t>Yasser Mahmoud</t>
  </si>
  <si>
    <t>Orley Garcia</t>
  </si>
  <si>
    <t>Mouad Omir</t>
  </si>
  <si>
    <t>Oussema Boussaid</t>
  </si>
  <si>
    <t>Karim Maarori</t>
  </si>
  <si>
    <t>Mohamed Othman Gazy</t>
  </si>
  <si>
    <t>Mohamed Amzil</t>
  </si>
  <si>
    <t>Mohamed Jaouat</t>
  </si>
  <si>
    <t>Ahmed Elsayed Algammal</t>
  </si>
  <si>
    <t>Muhmoud Ayman Saad</t>
  </si>
  <si>
    <t>Youssef Souayah</t>
  </si>
  <si>
    <t>Mohamed Kamal</t>
  </si>
  <si>
    <t>Fady Elsayed</t>
  </si>
  <si>
    <t>Abdellatif Zamzam</t>
  </si>
  <si>
    <t>Saeed Al Adrham</t>
  </si>
  <si>
    <t>Mahmoud Nagib</t>
  </si>
  <si>
    <t>Taib Jadia</t>
  </si>
  <si>
    <t>Khalid Nokracchi</t>
  </si>
  <si>
    <t>Wasem Seed Alhajree</t>
  </si>
  <si>
    <t>Salman Altayyar</t>
  </si>
  <si>
    <t>Ahmed Abdelrahman</t>
  </si>
  <si>
    <t>Fikri Acharif</t>
  </si>
  <si>
    <t>Abdenabi Ktraouach</t>
  </si>
  <si>
    <t>Mohammed Korchi</t>
  </si>
  <si>
    <t>Khalid Chatir</t>
  </si>
  <si>
    <t>Naoufel Jabnouni</t>
  </si>
  <si>
    <t>Mohammed Nshbat</t>
  </si>
  <si>
    <t>Nasser Mansour Nasser Alessa</t>
  </si>
  <si>
    <t>Abdssamad Aballa</t>
  </si>
  <si>
    <t>Ayoub Benzahra</t>
  </si>
  <si>
    <t>Khalifa El Nahrawy</t>
  </si>
  <si>
    <t>Mostafa Ashour Elkhouly</t>
  </si>
  <si>
    <t>Alaa Eddine Rtili</t>
  </si>
  <si>
    <t>Aref Hebatala</t>
  </si>
  <si>
    <t>RUH - Al Aarid</t>
  </si>
  <si>
    <t>RUH - Al Massif</t>
  </si>
  <si>
    <t>RUH - Al Sahafa</t>
  </si>
  <si>
    <t>RUH - Al Wadi</t>
  </si>
  <si>
    <t>RUH - Al Malaz</t>
  </si>
  <si>
    <t>Mohammed Abdelhamid</t>
  </si>
  <si>
    <t>Wael Mohammed</t>
  </si>
  <si>
    <t>Moulay Al Hussein</t>
  </si>
  <si>
    <t>Boujemaa Elakkad</t>
  </si>
  <si>
    <t>Asmah Choukeni</t>
  </si>
  <si>
    <t>Saleh Al Abed</t>
  </si>
  <si>
    <t>Ahmed Shoeeb</t>
  </si>
  <si>
    <t>Shamsudheen Paramban</t>
  </si>
  <si>
    <t>Tabuk</t>
  </si>
  <si>
    <t>Miloud Baali</t>
  </si>
  <si>
    <t>Mohammad Nour Al-Din Awad Mohammad</t>
  </si>
  <si>
    <t>Mohammad Ismail</t>
  </si>
  <si>
    <t>Mostafa Hamada</t>
  </si>
  <si>
    <t>Anas Jouhari</t>
  </si>
  <si>
    <t>Tamer Sharkas</t>
  </si>
  <si>
    <t>Marwan Al-Jebali</t>
  </si>
  <si>
    <t>Said Ennasr</t>
  </si>
  <si>
    <t>Ibrahim Refat Abdellatif</t>
  </si>
  <si>
    <t>Ahmed Mohamed Ahmed Fadol</t>
  </si>
  <si>
    <t>Ibrahem Zahran</t>
  </si>
  <si>
    <t>Ali Alkobebi</t>
  </si>
  <si>
    <t>Eslam Rezk</t>
  </si>
  <si>
    <t>Najran</t>
  </si>
  <si>
    <t>Khamis Mushait</t>
  </si>
  <si>
    <t>Abdaleleh Naser Ahmed</t>
  </si>
  <si>
    <t>Wadhah Ahmed Ahmed Mahyub</t>
  </si>
  <si>
    <t>Amin Haron</t>
  </si>
  <si>
    <t>Hamdy Helal</t>
  </si>
  <si>
    <t>Mustapha Selaoui</t>
  </si>
  <si>
    <t>Mohammed Ayed</t>
  </si>
  <si>
    <t>El Kaddioui Adil</t>
  </si>
  <si>
    <t>Mohamad Fouad G. Amer</t>
  </si>
  <si>
    <t>Ahmad H. Abed Al Latif</t>
  </si>
  <si>
    <t>Hisham M. Badih</t>
  </si>
  <si>
    <t>Diya Y. Aljirdan</t>
  </si>
  <si>
    <t>Mohamad Zakariah</t>
  </si>
  <si>
    <t>Rrnniel Villaverde</t>
  </si>
  <si>
    <t>Magomed Ansarov</t>
  </si>
  <si>
    <t>Zakaria Jawadi</t>
  </si>
  <si>
    <t>Renelle Vilaverdi</t>
  </si>
  <si>
    <t>Badereddine Bouzahar</t>
  </si>
  <si>
    <t>Fawzi Baltaji</t>
  </si>
  <si>
    <t>Akram M. Hussin</t>
  </si>
  <si>
    <t>Zakaria Yahia</t>
  </si>
  <si>
    <t>Youssef Noreddine</t>
  </si>
  <si>
    <t>Ahmad Fadel</t>
  </si>
  <si>
    <t>Rachid Sakouti</t>
  </si>
  <si>
    <t>Hamza Sanbar</t>
  </si>
  <si>
    <t>Ayman N. Al Chahawi</t>
  </si>
  <si>
    <t>Abdou Wahed Zraidi</t>
  </si>
  <si>
    <t>Bander Albalawi</t>
  </si>
  <si>
    <t>Ibrahim Mohamed Fadel Abduljalil Barakat</t>
  </si>
  <si>
    <t>Abdellatif Zamzim</t>
  </si>
  <si>
    <t>Mahmoud Al Mahdi</t>
  </si>
  <si>
    <t>Ahmad Hamdi Knawi</t>
  </si>
  <si>
    <t>MONTHLY TOTAL:</t>
  </si>
  <si>
    <t>Adil Elqady</t>
  </si>
  <si>
    <t>Khaled Ezzat</t>
  </si>
  <si>
    <t>Mohamed Rabhi</t>
  </si>
  <si>
    <t>Ahmed Abdelmaqsoud</t>
  </si>
  <si>
    <t>Mahmoud Bakry</t>
  </si>
  <si>
    <t>Anas Al-Makenzi</t>
  </si>
  <si>
    <t>Ibrahim Salama</t>
  </si>
  <si>
    <t>Al Mubaraz</t>
  </si>
  <si>
    <t>Mohamed Elshabrawy</t>
  </si>
  <si>
    <t>Trainer Ismail</t>
  </si>
  <si>
    <t>Mahmoud Fotoh</t>
  </si>
  <si>
    <t>Selim Ben Abdelkader</t>
  </si>
  <si>
    <t>Elsayed Fouad</t>
  </si>
  <si>
    <t>Mohamed Hassan Ali Hassan</t>
  </si>
  <si>
    <t>Oussama Ait Hammou Obrahim</t>
  </si>
  <si>
    <t>Zakaria Elouali</t>
  </si>
  <si>
    <t>Rashid Elbouazizi</t>
  </si>
  <si>
    <t>Mahmoud Hassan</t>
  </si>
  <si>
    <t>Adel Mohammed Abdullah Al-Daos</t>
  </si>
  <si>
    <t>Imad Al-Zahrani</t>
  </si>
  <si>
    <t>Khaled Al Barkawi</t>
  </si>
  <si>
    <t>Ahmad Al-Dawkhi</t>
  </si>
  <si>
    <t>Mohamad Amine Azhar</t>
  </si>
  <si>
    <t>Ammar Tarek Fathi Ibrahim Ali Mahmoud</t>
  </si>
  <si>
    <t>Mohamed Abdel Manaam Yakout</t>
  </si>
  <si>
    <t>Hail</t>
  </si>
  <si>
    <t>Abdallah Laghzal</t>
  </si>
  <si>
    <t>Ahmad Chiboub</t>
  </si>
  <si>
    <t>Ali Mohamed Ali Mohamed</t>
  </si>
  <si>
    <t>Bassam Ahmad Al-Salhani</t>
  </si>
  <si>
    <t>Hatem Kamal Hatiba</t>
  </si>
  <si>
    <t>Wagih Al-Saadani</t>
  </si>
  <si>
    <t>Hamza Aissaoui</t>
  </si>
  <si>
    <t xml:space="preserve">CLIENT ID
</t>
  </si>
  <si>
    <t xml:space="preserve">رقم العميل
</t>
  </si>
  <si>
    <t>Sameh Houssein Ali Abed Al-Wahid</t>
  </si>
  <si>
    <t>ElHassan Nagib</t>
  </si>
  <si>
    <t>JED - Obhor - Al Sheraa</t>
  </si>
  <si>
    <t>JED - Obhor - Al Amwaj</t>
  </si>
  <si>
    <t>Ahmed Al Gammal</t>
  </si>
  <si>
    <t>Bader Eddine</t>
  </si>
  <si>
    <t>Abdelrahman Kamal</t>
  </si>
  <si>
    <t>Tarak Othman</t>
  </si>
  <si>
    <t>Nawaf Alanazi</t>
  </si>
  <si>
    <t>Ibrahim Saleh</t>
  </si>
  <si>
    <t>Abdelrahman Faris</t>
  </si>
  <si>
    <t>Raqan Abdel Mehsen Al-Qahtani</t>
  </si>
  <si>
    <t>Omar Mayhoub</t>
  </si>
  <si>
    <t>Mahmoud Yosri Mahmoud Mahfou</t>
  </si>
  <si>
    <t>Ahmed Hamid Abdellatif Nogalla</t>
  </si>
  <si>
    <t>Ahmed Adel Abdellatif Farag</t>
  </si>
  <si>
    <t>Soufian Bija</t>
  </si>
  <si>
    <t>Alaa El Din Mekhtar</t>
  </si>
  <si>
    <t>Ammar Ali</t>
  </si>
  <si>
    <t>Hamza El Moumine</t>
  </si>
  <si>
    <t>Mohamed Araby</t>
  </si>
  <si>
    <t>Ashraf Ezzeldine</t>
  </si>
  <si>
    <t>Ibrahim Babaker</t>
  </si>
  <si>
    <t>Mohamad Ahmad</t>
  </si>
  <si>
    <t>Ayoub Chatat</t>
  </si>
  <si>
    <t>Ahmad Al Dokhi</t>
  </si>
  <si>
    <t>Mohamad Maani</t>
  </si>
  <si>
    <t>Rabana Gabif</t>
  </si>
  <si>
    <t>Hassan Bargougui</t>
  </si>
  <si>
    <t>Moez Mustafa</t>
  </si>
  <si>
    <t>Soliman Bakar</t>
  </si>
  <si>
    <t>Oussama Amzil</t>
  </si>
  <si>
    <t>Abed El Rahman Taha</t>
  </si>
  <si>
    <t>Ahmed Tarek Kholafa</t>
  </si>
  <si>
    <t>Ahmed Mohamed Helmy Tohamy</t>
  </si>
  <si>
    <t>Adham Ahmed Abdelsttar</t>
  </si>
  <si>
    <t>Ahmed Abdallah Elsayed Ibrahim</t>
  </si>
  <si>
    <t>Hassan Adel Almughamisi</t>
  </si>
  <si>
    <t>Amjad Hussein Abbs Abdulaal</t>
  </si>
  <si>
    <t>Houssem Saggedi</t>
  </si>
  <si>
    <t>Amar Fathi</t>
  </si>
  <si>
    <t>Mohamed Achraf Abed Al-Mawjoud Mohamed</t>
  </si>
  <si>
    <t>Mohamad Ashraf</t>
  </si>
  <si>
    <t>Abdel Rahman Hamad</t>
  </si>
  <si>
    <t>Ahmad Al Hussein</t>
  </si>
  <si>
    <t>ALQ - Al Rayyan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</si>
</sst>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sz val="72"/>
      <color theme="1"/>
      <name val="Source Sans Pro Black"/>
      <family val="2"/>
    </font>
    <font>
      <sz val="24"/>
      <color theme="0"/>
      <name val="Source Sans Pro"/>
      <family val="2"/>
    </font>
    <font>
      <sz val="22"/>
      <color theme="1"/>
      <name val="Source Sans Pro SemiBold"/>
      <family val="2"/>
    </font>
    <font>
      <sz val="28"/>
      <color theme="0"/>
      <name val="Source Sans Pro Black"/>
      <family val="2"/>
    </font>
    <font>
      <sz val="28"/>
      <color theme="0"/>
      <name val="Tahoma"/>
      <family val="2"/>
    </font>
    <font>
      <sz val="20"/>
      <color theme="1"/>
      <name val="Tahoma"/>
      <family val="2"/>
    </font>
    <font>
      <sz val="20"/>
      <color theme="1"/>
      <name val="Source Sans Pro"/>
      <family val="2"/>
    </font>
    <font>
      <sz val="20"/>
      <color theme="1"/>
      <name val="Calibri"/>
      <family val="2"/>
      <scheme val="minor"/>
    </font>
    <font>
      <sz val="20"/>
      <name val="Source Sans Pro"/>
      <family val="2"/>
    </font>
    <font>
      <sz val="10"/>
      <color theme="1"/>
      <name val="Source Sans Pro"/>
      <family val="2"/>
    </font>
    <font>
      <sz val="12"/>
      <color theme="1"/>
      <name val="Tahoma"/>
      <family val="2"/>
    </font>
    <font>
      <sz val="20"/>
      <color rgb="FF000000"/>
      <name val="Tahoma"/>
      <family val="2"/>
    </font>
    <font>
      <sz val="30"/>
      <color theme="1"/>
      <name val="Source Sans Pro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BB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1F60"/>
        <bgColor indexed="64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right" vertical="center" indent="2"/>
    </xf>
    <xf numFmtId="17" fontId="4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right" vertical="center" indent="2"/>
    </xf>
    <xf numFmtId="1" fontId="4" fillId="0" borderId="0" xfId="0" applyNumberFormat="1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5" borderId="0" xfId="0" applyFont="1" applyFill="1" applyAlignment="1">
      <alignment horizontal="right" vertical="center" indent="2"/>
    </xf>
    <xf numFmtId="17" fontId="4" fillId="5" borderId="0" xfId="0" applyNumberFormat="1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1" fontId="4" fillId="5" borderId="0" xfId="0" applyNumberFormat="1" applyFont="1" applyFill="1" applyAlignment="1">
      <alignment horizontal="left" vertical="center" indent="1"/>
    </xf>
    <xf numFmtId="0" fontId="5" fillId="3" borderId="9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right" vertical="center" indent="2"/>
    </xf>
    <xf numFmtId="0" fontId="7" fillId="6" borderId="6" xfId="0" applyFont="1" applyFill="1" applyBorder="1" applyAlignment="1">
      <alignment horizontal="left" vertical="center" indent="1"/>
    </xf>
    <xf numFmtId="0" fontId="7" fillId="6" borderId="6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wrapText="1" indent="1"/>
    </xf>
    <xf numFmtId="0" fontId="7" fillId="6" borderId="10" xfId="0" applyFont="1" applyFill="1" applyBorder="1" applyAlignment="1">
      <alignment horizontal="left" vertical="center" indent="1"/>
    </xf>
    <xf numFmtId="0" fontId="7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5" fontId="4" fillId="0" borderId="0" xfId="0" applyNumberFormat="1" applyFont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7" fillId="6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left" vertical="center" indent="1"/>
    </xf>
    <xf numFmtId="0" fontId="7" fillId="6" borderId="7" xfId="0" applyFont="1" applyFill="1" applyBorder="1" applyAlignment="1">
      <alignment horizontal="left" vertical="center" indent="1"/>
    </xf>
    <xf numFmtId="0" fontId="7" fillId="6" borderId="0" xfId="0" applyFont="1" applyFill="1" applyAlignment="1">
      <alignment horizontal="center" vertical="center"/>
    </xf>
    <xf numFmtId="0" fontId="7" fillId="6" borderId="8" xfId="0" applyFont="1" applyFill="1" applyBorder="1" applyAlignment="1">
      <alignment horizontal="left" vertical="center" indent="1"/>
    </xf>
    <xf numFmtId="0" fontId="7" fillId="6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left" vertical="center" wrapText="1" inden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left" vertical="center" indent="1"/>
    </xf>
    <xf numFmtId="0" fontId="1" fillId="0" borderId="0" xfId="0" applyFont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left" vertical="center" inden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left" vertical="center" wrapText="1" inden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left" vertical="center" wrapText="1" indent="1"/>
    </xf>
    <xf numFmtId="0" fontId="7" fillId="6" borderId="1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 indent="1"/>
    </xf>
    <xf numFmtId="0" fontId="13" fillId="8" borderId="15" xfId="0" applyFont="1" applyFill="1" applyBorder="1" applyAlignment="1">
      <alignment horizontal="left" vertical="center"/>
    </xf>
    <xf numFmtId="0" fontId="14" fillId="0" borderId="0" xfId="0" applyFont="1"/>
    <xf numFmtId="0" fontId="7" fillId="4" borderId="6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/>
    <xf numFmtId="0" fontId="7" fillId="4" borderId="1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164" fontId="7" fillId="4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/>
    <xf numFmtId="164" fontId="7" fillId="4" borderId="6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  <color rgb="FF001F60"/>
      <color rgb="FFF2BB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E578-643A-154E-B9F0-AD6510E65661}">
  <dimension ref="A1:P90"/>
  <sheetViews>
    <sheetView showGridLines="0" tabSelected="1" zoomScale="50" zoomScaleNormal="50" zoomScaleSheetLayoutView="30" zoomScalePageLayoutView="50" workbookViewId="0">
      <selection activeCell="A7" sqref="A7"/>
    </sheetView>
  </sheetViews>
  <sheetFormatPr baseColWidth="10" defaultColWidth="8.6640625" defaultRowHeight="15" x14ac:dyDescent="0.2"/>
  <cols>
    <col min="1" max="1" width="60" style="1" customWidth="1"/>
    <col min="2" max="2" width="64.6640625" style="1" customWidth="1"/>
    <col min="3" max="3" width="66.1640625" style="21" customWidth="1"/>
    <col min="4" max="4" width="83.5" style="21" customWidth="1"/>
    <col min="5" max="5" width="6.6640625" style="1" customWidth="1"/>
    <col min="6" max="6" width="5.5" customWidth="1"/>
    <col min="7" max="7" width="40.6640625" style="1" customWidth="1"/>
    <col min="8" max="11" width="5.5" style="1" customWidth="1"/>
    <col min="12" max="16384" width="8.6640625" style="1"/>
  </cols>
  <sheetData>
    <row r="1" spans="1:16" ht="68" customHeight="1" x14ac:dyDescent="0.2">
      <c r="B1" s="2"/>
      <c r="C1" s="1"/>
      <c r="D1" s="1"/>
    </row>
    <row r="2" spans="1:16" ht="129" customHeight="1" x14ac:dyDescent="0.2">
      <c r="B2" s="2"/>
      <c r="C2" s="1"/>
      <c r="D2" s="1"/>
    </row>
    <row r="3" spans="1:16" ht="45" customHeight="1" x14ac:dyDescent="0.2">
      <c r="A3" s="3" t="s">
        <v>0</v>
      </c>
      <c r="B3" s="44">
        <v>46119</v>
      </c>
      <c r="C3" s="3" t="s">
        <v>312</v>
      </c>
      <c r="D3" s="26">
        <f ca="1">SUM(C7:C49)</f>
        <v>0</v>
      </c>
    </row>
    <row r="4" spans="1:16" ht="47.75" customHeight="1" x14ac:dyDescent="0.45">
      <c r="B4" s="2"/>
      <c r="C4" s="69"/>
      <c r="D4" s="1"/>
    </row>
    <row r="5" spans="1:16" ht="49.25" customHeight="1" x14ac:dyDescent="0.2">
      <c r="A5" s="7" t="s">
        <v>19</v>
      </c>
      <c r="B5" s="7" t="s">
        <v>177</v>
      </c>
      <c r="C5" s="8" t="s">
        <v>178</v>
      </c>
      <c r="D5" s="9" t="s">
        <v>179</v>
      </c>
      <c r="F5" s="10"/>
    </row>
    <row r="6" spans="1:16" ht="49.25" customHeight="1" x14ac:dyDescent="0.2">
      <c r="A6" s="11" t="s">
        <v>20</v>
      </c>
      <c r="B6" s="12" t="s">
        <v>180</v>
      </c>
      <c r="C6" s="12" t="s">
        <v>181</v>
      </c>
      <c r="D6" s="12" t="s">
        <v>182</v>
      </c>
      <c r="F6" s="10"/>
    </row>
    <row r="7" spans="1:16" s="15" customFormat="1" ht="64.5" customHeight="1" x14ac:dyDescent="0.2">
      <c r="A7" s="65" t="s">
        <v>256</v>
      </c>
      <c r="B7" s="42">
        <f t="shared" ref="B7:B49" ca="1" si="0">IFERROR(COUNTIFS(INDIRECT("'" &amp; $A7 &amp; "'!E:E"), "&gt;=" &amp; $B$3-7, INDIRECT("'" &amp; $A7 &amp; "'!E:E"), "&lt;=" &amp; $B$3),0)</f>
        <v>0</v>
      </c>
      <c r="C7" s="41">
        <f t="array" aca="1" ref="C7" ca="1">INDIRECT("'" &amp; A7 &amp; "'!D3")</f>
        <v>0</v>
      </c>
      <c r="D7" s="41">
        <f ca="1">C7+461</f>
        <v>461</v>
      </c>
      <c r="E7" s="16"/>
      <c r="F7" s="16"/>
      <c r="G7" s="16"/>
      <c r="H7" s="16"/>
      <c r="I7" s="16"/>
      <c r="J7" s="16"/>
      <c r="K7" s="14"/>
      <c r="L7" s="16"/>
      <c r="M7" s="16"/>
      <c r="N7" s="16"/>
      <c r="O7" s="16"/>
      <c r="P7" s="16"/>
    </row>
    <row r="8" spans="1:16" s="14" customFormat="1" ht="64.5" customHeight="1" x14ac:dyDescent="0.2">
      <c r="A8" s="65" t="s">
        <v>253</v>
      </c>
      <c r="B8" s="42">
        <f t="shared" ca="1" si="0"/>
        <v>0</v>
      </c>
      <c r="C8" s="41">
        <f t="array" aca="1" ref="C8" ca="1">INDIRECT("'" &amp; A8 &amp; "'!D3")</f>
        <v>0</v>
      </c>
      <c r="D8" s="41">
        <f ca="1">C8+144</f>
        <v>144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s="14" customFormat="1" ht="64.5" customHeight="1" x14ac:dyDescent="0.2">
      <c r="A9" s="65" t="s">
        <v>252</v>
      </c>
      <c r="B9" s="42">
        <f t="shared" ca="1" si="0"/>
        <v>0</v>
      </c>
      <c r="C9" s="41">
        <f t="array" aca="1" ref="C9" ca="1">INDIRECT("'" &amp; A9 &amp; "'!D3")</f>
        <v>0</v>
      </c>
      <c r="D9" s="41">
        <f ca="1">C9+47</f>
        <v>47</v>
      </c>
    </row>
    <row r="10" spans="1:16" s="16" customFormat="1" ht="64.5" customHeight="1" x14ac:dyDescent="0.2">
      <c r="A10" s="65" t="s">
        <v>254</v>
      </c>
      <c r="B10" s="42">
        <f t="shared" ca="1" si="0"/>
        <v>0</v>
      </c>
      <c r="C10" s="41">
        <f t="array" aca="1" ref="C10" ca="1">INDIRECT("'" &amp; A10 &amp; "'!D3")</f>
        <v>0</v>
      </c>
      <c r="D10" s="41">
        <f ca="1">C10+46</f>
        <v>46</v>
      </c>
      <c r="E10" s="14"/>
      <c r="F10" s="14"/>
      <c r="G10" s="14"/>
      <c r="H10" s="14"/>
      <c r="I10" s="14"/>
      <c r="J10" s="14"/>
      <c r="L10" s="14"/>
      <c r="M10" s="14"/>
      <c r="N10" s="14"/>
      <c r="O10" s="14"/>
      <c r="P10" s="14"/>
    </row>
    <row r="11" spans="1:16" s="14" customFormat="1" ht="64.5" customHeight="1" x14ac:dyDescent="0.2">
      <c r="A11" s="65" t="s">
        <v>255</v>
      </c>
      <c r="B11" s="42">
        <f t="shared" ca="1" si="0"/>
        <v>0</v>
      </c>
      <c r="C11" s="41">
        <f t="array" aca="1" ref="C11" ca="1">INDIRECT("'" &amp; A11 &amp; "'!D3")</f>
        <v>0</v>
      </c>
      <c r="D11" s="41">
        <f ca="1">C11+47</f>
        <v>47</v>
      </c>
    </row>
    <row r="12" spans="1:16" ht="64" customHeight="1" x14ac:dyDescent="0.2">
      <c r="A12" s="28" t="s">
        <v>34</v>
      </c>
      <c r="B12" s="42">
        <f t="shared" ca="1" si="0"/>
        <v>0</v>
      </c>
      <c r="C12" s="41">
        <f t="array" aca="1" ref="C12" ca="1">INDIRECT("'" &amp; A12 &amp; "'!D3")</f>
        <v>0</v>
      </c>
      <c r="D12" s="41">
        <f ca="1">C12+129</f>
        <v>129</v>
      </c>
      <c r="F12" s="1"/>
    </row>
    <row r="13" spans="1:16" customFormat="1" ht="64" customHeight="1" x14ac:dyDescent="0.2">
      <c r="A13" s="65" t="s">
        <v>203</v>
      </c>
      <c r="B13" s="42">
        <f t="shared" ca="1" si="0"/>
        <v>0</v>
      </c>
      <c r="C13" s="41">
        <f t="array" aca="1" ref="C13" ca="1">INDIRECT("'" &amp; A13 &amp; "'!D3")</f>
        <v>0</v>
      </c>
      <c r="D13" s="41">
        <f ca="1">C13+22</f>
        <v>22</v>
      </c>
      <c r="E13" s="19"/>
    </row>
    <row r="14" spans="1:16" customFormat="1" ht="64" customHeight="1" x14ac:dyDescent="0.2">
      <c r="A14" s="65" t="s">
        <v>202</v>
      </c>
      <c r="B14" s="42">
        <f t="shared" ca="1" si="0"/>
        <v>0</v>
      </c>
      <c r="C14" s="41">
        <f t="array" aca="1" ref="C14" ca="1">INDIRECT("'" &amp; A14 &amp; "'!D3")</f>
        <v>0</v>
      </c>
      <c r="D14" s="41">
        <f ca="1">C14+7</f>
        <v>7</v>
      </c>
      <c r="E14" s="19"/>
    </row>
    <row r="15" spans="1:16" customFormat="1" ht="64" customHeight="1" x14ac:dyDescent="0.2">
      <c r="A15" s="65" t="s">
        <v>201</v>
      </c>
      <c r="B15" s="42">
        <f t="shared" ca="1" si="0"/>
        <v>0</v>
      </c>
      <c r="C15" s="41">
        <f t="array" aca="1" ref="C15" ca="1">INDIRECT("'" &amp; A15 &amp; "'!D3")</f>
        <v>0</v>
      </c>
      <c r="D15" s="41">
        <f ca="1">C15+23</f>
        <v>23</v>
      </c>
      <c r="E15" s="19"/>
    </row>
    <row r="16" spans="1:16" customFormat="1" ht="64" customHeight="1" x14ac:dyDescent="0.2">
      <c r="A16" s="65" t="s">
        <v>200</v>
      </c>
      <c r="B16" s="42">
        <f t="shared" ca="1" si="0"/>
        <v>0</v>
      </c>
      <c r="C16" s="41">
        <f t="array" aca="1" ref="C16" ca="1">INDIRECT("'" &amp; A16 &amp; "'!D3")</f>
        <v>0</v>
      </c>
      <c r="D16" s="41">
        <f ca="1">C16+0</f>
        <v>0</v>
      </c>
      <c r="E16" s="19"/>
    </row>
    <row r="17" spans="1:6" customFormat="1" ht="64" customHeight="1" x14ac:dyDescent="0.2">
      <c r="A17" s="65" t="s">
        <v>199</v>
      </c>
      <c r="B17" s="42">
        <f t="shared" ca="1" si="0"/>
        <v>0</v>
      </c>
      <c r="C17" s="41">
        <f t="array" aca="1" ref="C17" ca="1">INDIRECT("'" &amp; A17 &amp; "'!D3")</f>
        <v>0</v>
      </c>
      <c r="D17" s="41">
        <f ca="1">C17+5</f>
        <v>5</v>
      </c>
      <c r="E17" s="19"/>
    </row>
    <row r="18" spans="1:6" ht="64" customHeight="1" x14ac:dyDescent="0.2">
      <c r="A18" s="29" t="s">
        <v>29</v>
      </c>
      <c r="B18" s="42">
        <f t="shared" ca="1" si="0"/>
        <v>0</v>
      </c>
      <c r="C18" s="41">
        <f t="array" aca="1" ref="C18" ca="1">INDIRECT("'" &amp; A18 &amp; "'!D3")</f>
        <v>0</v>
      </c>
      <c r="D18" s="41">
        <f ca="1">C18+11</f>
        <v>11</v>
      </c>
      <c r="F18" s="1"/>
    </row>
    <row r="19" spans="1:6" ht="64" customHeight="1" x14ac:dyDescent="0.2">
      <c r="A19" s="29" t="s">
        <v>30</v>
      </c>
      <c r="B19" s="42">
        <f t="shared" ca="1" si="0"/>
        <v>0</v>
      </c>
      <c r="C19" s="41">
        <f t="array" aca="1" ref="C19" ca="1">INDIRECT("'" &amp; A19 &amp; "'!D3")</f>
        <v>0</v>
      </c>
      <c r="D19" s="41">
        <f ca="1">C19+29</f>
        <v>29</v>
      </c>
      <c r="F19" s="1"/>
    </row>
    <row r="20" spans="1:6" ht="64" customHeight="1" x14ac:dyDescent="0.2">
      <c r="A20" s="28" t="s">
        <v>183</v>
      </c>
      <c r="B20" s="42">
        <f t="shared" ca="1" si="0"/>
        <v>0</v>
      </c>
      <c r="C20" s="41">
        <f t="array" aca="1" ref="C20" ca="1">INDIRECT("'" &amp; A20 &amp; "'!D3")</f>
        <v>0</v>
      </c>
      <c r="D20" s="41">
        <f ca="1">C20+25</f>
        <v>25</v>
      </c>
      <c r="F20" s="1"/>
    </row>
    <row r="21" spans="1:6" ht="64" customHeight="1" x14ac:dyDescent="0.2">
      <c r="A21" s="28" t="s">
        <v>31</v>
      </c>
      <c r="B21" s="42">
        <f t="shared" ca="1" si="0"/>
        <v>0</v>
      </c>
      <c r="C21" s="41">
        <f t="array" aca="1" ref="C21" ca="1">INDIRECT("'" &amp; A21 &amp; "'!D3")</f>
        <v>0</v>
      </c>
      <c r="D21" s="41">
        <f ca="1">C21+24</f>
        <v>24</v>
      </c>
      <c r="F21" s="1"/>
    </row>
    <row r="22" spans="1:6" ht="64" customHeight="1" x14ac:dyDescent="0.2">
      <c r="A22" s="28" t="s">
        <v>32</v>
      </c>
      <c r="B22" s="42">
        <f t="shared" ca="1" si="0"/>
        <v>0</v>
      </c>
      <c r="C22" s="41">
        <f t="array" aca="1" ref="C22" ca="1">INDIRECT("'" &amp; A22 &amp; "'!D3")</f>
        <v>0</v>
      </c>
      <c r="D22" s="41">
        <f ca="1">C22+3</f>
        <v>3</v>
      </c>
      <c r="F22" s="1"/>
    </row>
    <row r="23" spans="1:6" ht="64" customHeight="1" x14ac:dyDescent="0.2">
      <c r="A23" s="28" t="s">
        <v>33</v>
      </c>
      <c r="B23" s="42">
        <f t="shared" ca="1" si="0"/>
        <v>0</v>
      </c>
      <c r="C23" s="41">
        <f t="array" aca="1" ref="C23" ca="1">INDIRECT("'" &amp; A23 &amp; "'!D3")</f>
        <v>0</v>
      </c>
      <c r="D23" s="41">
        <f ca="1">C23+32</f>
        <v>32</v>
      </c>
      <c r="F23" s="1"/>
    </row>
    <row r="24" spans="1:6" ht="64" customHeight="1" x14ac:dyDescent="0.2">
      <c r="A24" s="28" t="s">
        <v>35</v>
      </c>
      <c r="B24" s="42">
        <f t="shared" ca="1" si="0"/>
        <v>0</v>
      </c>
      <c r="C24" s="41">
        <f t="array" aca="1" ref="C24" ca="1">INDIRECT("'" &amp; A24 &amp; "'!D3")</f>
        <v>0</v>
      </c>
      <c r="D24" s="41">
        <f ca="1">C24+12</f>
        <v>12</v>
      </c>
      <c r="F24" s="1"/>
    </row>
    <row r="25" spans="1:6" ht="64" customHeight="1" x14ac:dyDescent="0.2">
      <c r="A25" s="28" t="s">
        <v>36</v>
      </c>
      <c r="B25" s="42">
        <f t="shared" ca="1" si="0"/>
        <v>0</v>
      </c>
      <c r="C25" s="41">
        <f t="array" aca="1" ref="C25" ca="1">INDIRECT("'" &amp; A25 &amp; "'!D3")</f>
        <v>0</v>
      </c>
      <c r="D25" s="41">
        <f ca="1">C25+27</f>
        <v>27</v>
      </c>
      <c r="F25" s="1"/>
    </row>
    <row r="26" spans="1:6" ht="64" customHeight="1" x14ac:dyDescent="0.2">
      <c r="A26" s="28" t="s">
        <v>37</v>
      </c>
      <c r="B26" s="42">
        <f t="shared" ca="1" si="0"/>
        <v>0</v>
      </c>
      <c r="C26" s="41">
        <f t="array" aca="1" ref="C26" ca="1">INDIRECT("'" &amp; A26 &amp; "'!D3")</f>
        <v>0</v>
      </c>
      <c r="D26" s="41">
        <f ca="1">C26+34</f>
        <v>34</v>
      </c>
      <c r="F26" s="1"/>
    </row>
    <row r="27" spans="1:6" s="14" customFormat="1" ht="64.5" customHeight="1" x14ac:dyDescent="0.2">
      <c r="A27" s="65" t="s">
        <v>22</v>
      </c>
      <c r="B27" s="42">
        <f t="shared" ca="1" si="0"/>
        <v>0</v>
      </c>
      <c r="C27" s="41">
        <f t="array" aca="1" ref="C27" ca="1">INDIRECT("'" &amp; A27 &amp; "'!D3")</f>
        <v>0</v>
      </c>
      <c r="D27" s="41">
        <f ca="1">C27+18</f>
        <v>18</v>
      </c>
    </row>
    <row r="28" spans="1:6" s="14" customFormat="1" ht="64.5" customHeight="1" x14ac:dyDescent="0.2">
      <c r="A28" s="65" t="s">
        <v>23</v>
      </c>
      <c r="B28" s="42">
        <f t="shared" ca="1" si="0"/>
        <v>0</v>
      </c>
      <c r="C28" s="41">
        <f t="array" aca="1" ref="C28" ca="1">INDIRECT("'" &amp; A28 &amp; "'!D3")</f>
        <v>0</v>
      </c>
      <c r="D28" s="41">
        <f ca="1">C28+26</f>
        <v>26</v>
      </c>
    </row>
    <row r="29" spans="1:6" s="14" customFormat="1" ht="64.5" customHeight="1" x14ac:dyDescent="0.2">
      <c r="A29" s="65" t="s">
        <v>24</v>
      </c>
      <c r="B29" s="42">
        <f t="shared" ca="1" si="0"/>
        <v>0</v>
      </c>
      <c r="C29" s="41">
        <f t="array" aca="1" ref="C29" ca="1">INDIRECT("'" &amp; A29 &amp; "'!D3")</f>
        <v>0</v>
      </c>
      <c r="D29" s="41">
        <f ca="1">C29+30</f>
        <v>30</v>
      </c>
    </row>
    <row r="30" spans="1:6" s="14" customFormat="1" ht="64.5" customHeight="1" x14ac:dyDescent="0.2">
      <c r="A30" s="65" t="s">
        <v>25</v>
      </c>
      <c r="B30" s="42">
        <f t="shared" ca="1" si="0"/>
        <v>0</v>
      </c>
      <c r="C30" s="41">
        <f t="array" aca="1" ref="C30" ca="1">INDIRECT("'" &amp; A30 &amp; "'!D3")</f>
        <v>0</v>
      </c>
      <c r="D30" s="41">
        <f ca="1">C30+22</f>
        <v>22</v>
      </c>
    </row>
    <row r="31" spans="1:6" s="14" customFormat="1" ht="64" customHeight="1" x14ac:dyDescent="0.2">
      <c r="A31" s="29" t="s">
        <v>26</v>
      </c>
      <c r="B31" s="42">
        <f t="shared" ca="1" si="0"/>
        <v>0</v>
      </c>
      <c r="C31" s="41">
        <f t="array" aca="1" ref="C31" ca="1">INDIRECT("'" &amp; A31 &amp; "'!D3")</f>
        <v>0</v>
      </c>
      <c r="D31" s="41">
        <f ca="1">C31+1</f>
        <v>1</v>
      </c>
    </row>
    <row r="32" spans="1:6" customFormat="1" ht="64" customHeight="1" x14ac:dyDescent="0.2">
      <c r="A32" s="65" t="s">
        <v>204</v>
      </c>
      <c r="B32" s="42">
        <f t="shared" ca="1" si="0"/>
        <v>0</v>
      </c>
      <c r="C32" s="41">
        <f t="array" aca="1" ref="C32" ca="1">INDIRECT("'" &amp; A32 &amp; "'!D3")</f>
        <v>0</v>
      </c>
      <c r="D32" s="41">
        <f ca="1">C32+2</f>
        <v>2</v>
      </c>
      <c r="E32" s="19"/>
    </row>
    <row r="33" spans="1:6" s="18" customFormat="1" ht="64" customHeight="1" x14ac:dyDescent="0.2">
      <c r="A33" s="29" t="s">
        <v>39</v>
      </c>
      <c r="B33" s="42">
        <f t="shared" ca="1" si="0"/>
        <v>0</v>
      </c>
      <c r="C33" s="41">
        <f t="array" aca="1" ref="C33" ca="1">INDIRECT("'" &amp; A33 &amp; "'!D3")</f>
        <v>0</v>
      </c>
      <c r="D33" s="41">
        <f ca="1">C33+0</f>
        <v>0</v>
      </c>
      <c r="E33" s="17"/>
    </row>
    <row r="34" spans="1:6" ht="64" customHeight="1" x14ac:dyDescent="0.2">
      <c r="A34" s="29" t="s">
        <v>351</v>
      </c>
      <c r="B34" s="42">
        <f t="shared" ca="1" si="0"/>
        <v>0</v>
      </c>
      <c r="C34" s="41">
        <f t="array" aca="1" ref="C34" ca="1">INDIRECT("'" &amp; A34 &amp; "'!D3")</f>
        <v>0</v>
      </c>
      <c r="D34" s="41">
        <f ca="1">C34+2</f>
        <v>2</v>
      </c>
      <c r="F34" s="1"/>
    </row>
    <row r="35" spans="1:6" ht="64" customHeight="1" x14ac:dyDescent="0.2">
      <c r="A35" s="29" t="s">
        <v>350</v>
      </c>
      <c r="B35" s="42">
        <f t="shared" ca="1" si="0"/>
        <v>0</v>
      </c>
      <c r="C35" s="41">
        <f t="array" aca="1" ref="C35" ca="1">INDIRECT("'" &amp; A35 &amp; "'!D3")</f>
        <v>0</v>
      </c>
      <c r="D35" s="41">
        <f ca="1">C35+0</f>
        <v>0</v>
      </c>
      <c r="F35" s="1"/>
    </row>
    <row r="36" spans="1:6" customFormat="1" ht="64" customHeight="1" x14ac:dyDescent="0.2">
      <c r="A36" s="65" t="s">
        <v>208</v>
      </c>
      <c r="B36" s="42">
        <f t="shared" ca="1" si="0"/>
        <v>0</v>
      </c>
      <c r="C36" s="41">
        <f t="array" aca="1" ref="C36" ca="1">INDIRECT("'" &amp; A36 &amp; "'!D3")</f>
        <v>0</v>
      </c>
      <c r="D36" s="41">
        <f ca="1">C36+4</f>
        <v>4</v>
      </c>
      <c r="E36" s="19"/>
    </row>
    <row r="37" spans="1:6" customFormat="1" ht="64" customHeight="1" x14ac:dyDescent="0.2">
      <c r="A37" s="65" t="s">
        <v>393</v>
      </c>
      <c r="B37" s="42">
        <f t="shared" ca="1" si="0"/>
        <v>0</v>
      </c>
      <c r="C37" s="41">
        <f t="array" aca="1" ref="C37" ca="1">INDIRECT("'" &amp; A37 &amp; "'!D3")</f>
        <v>0</v>
      </c>
      <c r="D37" s="41">
        <f ca="1">C37+0</f>
        <v>0</v>
      </c>
      <c r="E37" s="19"/>
    </row>
    <row r="38" spans="1:6" customFormat="1" ht="64" customHeight="1" x14ac:dyDescent="0.2">
      <c r="A38" s="65" t="s">
        <v>207</v>
      </c>
      <c r="B38" s="42">
        <f t="shared" ca="1" si="0"/>
        <v>0</v>
      </c>
      <c r="C38" s="41">
        <f t="array" aca="1" ref="C38" ca="1">INDIRECT("'" &amp; A38 &amp; "'!D3")</f>
        <v>0</v>
      </c>
      <c r="D38" s="41">
        <f ca="1">C38+12</f>
        <v>12</v>
      </c>
      <c r="E38" s="19"/>
    </row>
    <row r="39" spans="1:6" customFormat="1" ht="64" customHeight="1" x14ac:dyDescent="0.2">
      <c r="A39" s="65" t="s">
        <v>206</v>
      </c>
      <c r="B39" s="42">
        <f t="shared" ca="1" si="0"/>
        <v>0</v>
      </c>
      <c r="C39" s="41">
        <f t="array" aca="1" ref="C39" ca="1">INDIRECT("'" &amp; A39 &amp; "'!D3")</f>
        <v>0</v>
      </c>
      <c r="D39" s="41">
        <f ca="1">C39+2</f>
        <v>2</v>
      </c>
      <c r="E39" s="19"/>
    </row>
    <row r="40" spans="1:6" ht="64" customHeight="1" x14ac:dyDescent="0.2">
      <c r="A40" s="29" t="s">
        <v>27</v>
      </c>
      <c r="B40" s="42">
        <f t="shared" ca="1" si="0"/>
        <v>0</v>
      </c>
      <c r="C40" s="41">
        <f t="array" aca="1" ref="C40" ca="1">INDIRECT("'" &amp; A40 &amp; "'!D3")</f>
        <v>0</v>
      </c>
      <c r="D40" s="41">
        <f ca="1">C40+0</f>
        <v>0</v>
      </c>
      <c r="F40" s="1"/>
    </row>
    <row r="41" spans="1:6" ht="64" customHeight="1" x14ac:dyDescent="0.2">
      <c r="A41" s="29" t="s">
        <v>28</v>
      </c>
      <c r="B41" s="42">
        <f t="shared" ca="1" si="0"/>
        <v>0</v>
      </c>
      <c r="C41" s="41">
        <f t="array" aca="1" ref="C41" ca="1">INDIRECT("'" &amp; A41 &amp; "'!D3")</f>
        <v>0</v>
      </c>
      <c r="D41" s="41">
        <f ca="1">C41+6</f>
        <v>6</v>
      </c>
      <c r="F41" s="1"/>
    </row>
    <row r="42" spans="1:6" customFormat="1" ht="64" customHeight="1" x14ac:dyDescent="0.2">
      <c r="A42" s="28" t="s">
        <v>38</v>
      </c>
      <c r="B42" s="42">
        <f t="shared" ca="1" si="0"/>
        <v>0</v>
      </c>
      <c r="C42" s="41">
        <f t="array" aca="1" ref="C42" ca="1">INDIRECT("'" &amp; A42 &amp; "'!D3")</f>
        <v>0</v>
      </c>
      <c r="D42" s="41">
        <f ca="1">C42+10</f>
        <v>10</v>
      </c>
      <c r="E42" s="19"/>
    </row>
    <row r="43" spans="1:6" s="14" customFormat="1" ht="64.5" customHeight="1" x14ac:dyDescent="0.2">
      <c r="A43" s="65" t="s">
        <v>21</v>
      </c>
      <c r="B43" s="42">
        <f t="shared" ca="1" si="0"/>
        <v>0</v>
      </c>
      <c r="C43" s="41">
        <f t="array" aca="1" ref="C43" ca="1">INDIRECT("'" &amp; A43 &amp; "'!D3")</f>
        <v>0</v>
      </c>
      <c r="D43" s="41">
        <f ca="1">C43+34</f>
        <v>34</v>
      </c>
    </row>
    <row r="44" spans="1:6" customFormat="1" ht="64" customHeight="1" x14ac:dyDescent="0.2">
      <c r="A44" s="39" t="s">
        <v>320</v>
      </c>
      <c r="B44" s="42">
        <f t="shared" ca="1" si="0"/>
        <v>0</v>
      </c>
      <c r="C44" s="41">
        <f t="array" aca="1" ref="C44" ca="1">INDIRECT("'" &amp; A44 &amp; "'!D3")</f>
        <v>0</v>
      </c>
      <c r="D44" s="41">
        <f ca="1">C44+47</f>
        <v>47</v>
      </c>
      <c r="E44" s="19"/>
    </row>
    <row r="45" spans="1:6" customFormat="1" ht="64" customHeight="1" x14ac:dyDescent="0.2">
      <c r="A45" s="65" t="s">
        <v>205</v>
      </c>
      <c r="B45" s="42">
        <f t="shared" ca="1" si="0"/>
        <v>0</v>
      </c>
      <c r="C45" s="41">
        <f t="array" aca="1" ref="C45" ca="1">INDIRECT("'" &amp; A45 &amp; "'!D3")</f>
        <v>0</v>
      </c>
      <c r="D45" s="41">
        <f ca="1">C45+22</f>
        <v>22</v>
      </c>
      <c r="E45" s="19"/>
    </row>
    <row r="46" spans="1:6" customFormat="1" ht="64" customHeight="1" x14ac:dyDescent="0.2">
      <c r="A46" s="65" t="s">
        <v>265</v>
      </c>
      <c r="B46" s="42">
        <f t="shared" ca="1" si="0"/>
        <v>0</v>
      </c>
      <c r="C46" s="41">
        <f t="array" aca="1" ref="C46" ca="1">INDIRECT("'" &amp; A46 &amp; "'!D3")</f>
        <v>0</v>
      </c>
      <c r="D46" s="41">
        <f ca="1">C46+1</f>
        <v>1</v>
      </c>
      <c r="E46" s="19"/>
    </row>
    <row r="47" spans="1:6" customFormat="1" ht="64" customHeight="1" x14ac:dyDescent="0.2">
      <c r="A47" s="28" t="s">
        <v>279</v>
      </c>
      <c r="B47" s="42">
        <f t="shared" ca="1" si="0"/>
        <v>0</v>
      </c>
      <c r="C47" s="41">
        <f t="array" aca="1" ref="C47" ca="1">INDIRECT("'" &amp; A47 &amp; "'!D3")</f>
        <v>0</v>
      </c>
      <c r="D47" s="41">
        <f ca="1">C47+4</f>
        <v>4</v>
      </c>
      <c r="E47" s="19"/>
    </row>
    <row r="48" spans="1:6" customFormat="1" ht="64" customHeight="1" x14ac:dyDescent="0.2">
      <c r="A48" s="65" t="s">
        <v>280</v>
      </c>
      <c r="B48" s="42">
        <f t="shared" ca="1" si="0"/>
        <v>0</v>
      </c>
      <c r="C48" s="41">
        <f t="array" aca="1" ref="C48" ca="1">INDIRECT("'" &amp; A48 &amp; "'!D3")</f>
        <v>0</v>
      </c>
      <c r="D48" s="41">
        <f ca="1">C48+2</f>
        <v>2</v>
      </c>
      <c r="E48" s="19"/>
    </row>
    <row r="49" spans="1:5" customFormat="1" ht="64" customHeight="1" x14ac:dyDescent="0.2">
      <c r="A49" s="65" t="s">
        <v>338</v>
      </c>
      <c r="B49" s="42">
        <f t="shared" ca="1" si="0"/>
        <v>0</v>
      </c>
      <c r="C49" s="41">
        <f t="array" aca="1" ref="C49" ca="1">INDIRECT("'" &amp; A49 &amp; "'!D3")</f>
        <v>0</v>
      </c>
      <c r="D49" s="41">
        <f ca="1">C49+0</f>
        <v>0</v>
      </c>
      <c r="E49" s="19"/>
    </row>
    <row r="50" spans="1:5" customFormat="1" ht="16" x14ac:dyDescent="0.2">
      <c r="A50" s="19"/>
      <c r="B50" s="19"/>
      <c r="C50" s="20"/>
      <c r="D50" s="20"/>
      <c r="E50" s="19"/>
    </row>
    <row r="51" spans="1:5" customFormat="1" ht="16" x14ac:dyDescent="0.2">
      <c r="A51" s="19"/>
      <c r="B51" s="19"/>
      <c r="C51" s="20"/>
      <c r="D51" s="20"/>
      <c r="E51" s="19"/>
    </row>
    <row r="52" spans="1:5" customFormat="1" ht="16" x14ac:dyDescent="0.2">
      <c r="A52" s="19"/>
      <c r="B52" s="19"/>
      <c r="C52" s="20"/>
      <c r="D52" s="20"/>
      <c r="E52" s="19"/>
    </row>
    <row r="53" spans="1:5" customFormat="1" ht="16" x14ac:dyDescent="0.2">
      <c r="A53" s="19"/>
      <c r="B53" s="19"/>
      <c r="C53" s="20"/>
      <c r="D53" s="20"/>
      <c r="E53" s="19"/>
    </row>
    <row r="54" spans="1:5" customFormat="1" ht="16" x14ac:dyDescent="0.2">
      <c r="A54" s="19"/>
      <c r="B54" s="19"/>
      <c r="C54" s="20"/>
      <c r="D54" s="20"/>
      <c r="E54" s="19"/>
    </row>
    <row r="55" spans="1:5" customFormat="1" ht="16" x14ac:dyDescent="0.2">
      <c r="A55" s="19"/>
      <c r="B55" s="19"/>
      <c r="C55" s="20"/>
      <c r="D55" s="20"/>
      <c r="E55" s="19"/>
    </row>
    <row r="56" spans="1:5" customFormat="1" ht="16" x14ac:dyDescent="0.2">
      <c r="A56" s="19"/>
      <c r="B56" s="19"/>
      <c r="C56" s="20"/>
      <c r="D56" s="20"/>
      <c r="E56" s="19"/>
    </row>
    <row r="57" spans="1:5" customFormat="1" ht="16" x14ac:dyDescent="0.2">
      <c r="A57" s="19"/>
      <c r="B57" s="19"/>
      <c r="C57" s="20"/>
      <c r="D57" s="20"/>
      <c r="E57" s="19"/>
    </row>
    <row r="58" spans="1:5" customFormat="1" ht="16" x14ac:dyDescent="0.2">
      <c r="A58" s="19"/>
      <c r="B58" s="19"/>
      <c r="C58" s="20"/>
      <c r="D58" s="20"/>
      <c r="E58" s="19"/>
    </row>
    <row r="59" spans="1:5" customFormat="1" ht="16" x14ac:dyDescent="0.2">
      <c r="A59" s="19"/>
      <c r="B59" s="19"/>
      <c r="C59" s="20"/>
      <c r="D59" s="20"/>
      <c r="E59" s="19"/>
    </row>
    <row r="60" spans="1:5" customFormat="1" ht="16" x14ac:dyDescent="0.2">
      <c r="A60" s="19"/>
      <c r="B60" s="19"/>
      <c r="C60" s="20"/>
      <c r="D60" s="20"/>
      <c r="E60" s="19"/>
    </row>
    <row r="61" spans="1:5" customFormat="1" ht="16" x14ac:dyDescent="0.2">
      <c r="A61" s="19"/>
      <c r="B61" s="19"/>
      <c r="C61" s="20"/>
      <c r="D61" s="20"/>
      <c r="E61" s="19"/>
    </row>
    <row r="62" spans="1:5" customFormat="1" ht="16" x14ac:dyDescent="0.2">
      <c r="A62" s="19"/>
      <c r="B62" s="19"/>
      <c r="C62" s="20"/>
      <c r="D62" s="20"/>
      <c r="E62" s="19"/>
    </row>
    <row r="63" spans="1:5" customFormat="1" ht="16" x14ac:dyDescent="0.2">
      <c r="A63" s="19"/>
      <c r="B63" s="19"/>
      <c r="C63" s="20"/>
      <c r="D63" s="20"/>
      <c r="E63" s="19"/>
    </row>
    <row r="64" spans="1:5" customFormat="1" ht="16" x14ac:dyDescent="0.2">
      <c r="A64" s="19"/>
      <c r="B64" s="19"/>
      <c r="C64" s="20"/>
      <c r="D64" s="20"/>
      <c r="E64" s="19"/>
    </row>
    <row r="65" spans="1:5" customFormat="1" ht="16" x14ac:dyDescent="0.2">
      <c r="A65" s="19"/>
      <c r="B65" s="19"/>
      <c r="C65" s="20"/>
      <c r="D65" s="20"/>
      <c r="E65" s="19"/>
    </row>
    <row r="66" spans="1:5" customFormat="1" ht="16" x14ac:dyDescent="0.2">
      <c r="A66" s="19"/>
      <c r="B66" s="19"/>
      <c r="C66" s="20"/>
      <c r="D66" s="20"/>
      <c r="E66" s="19"/>
    </row>
    <row r="67" spans="1:5" customFormat="1" ht="16" x14ac:dyDescent="0.2">
      <c r="A67" s="19"/>
      <c r="B67" s="19"/>
      <c r="C67" s="20"/>
      <c r="D67" s="20"/>
      <c r="E67" s="19"/>
    </row>
    <row r="68" spans="1:5" customFormat="1" ht="16" x14ac:dyDescent="0.2">
      <c r="A68" s="19"/>
      <c r="B68" s="19"/>
      <c r="C68" s="20"/>
      <c r="D68" s="20"/>
      <c r="E68" s="19"/>
    </row>
    <row r="69" spans="1:5" customFormat="1" ht="16" x14ac:dyDescent="0.2">
      <c r="A69" s="19"/>
      <c r="B69" s="19"/>
      <c r="C69" s="20"/>
      <c r="D69" s="20"/>
      <c r="E69" s="19"/>
    </row>
    <row r="70" spans="1:5" customFormat="1" ht="16" x14ac:dyDescent="0.2">
      <c r="A70" s="19"/>
      <c r="B70" s="19"/>
      <c r="C70" s="20"/>
      <c r="D70" s="20"/>
      <c r="E70" s="19"/>
    </row>
    <row r="71" spans="1:5" customFormat="1" ht="16" x14ac:dyDescent="0.2">
      <c r="A71" s="19"/>
      <c r="B71" s="19"/>
      <c r="C71" s="20"/>
      <c r="D71" s="20"/>
      <c r="E71" s="19"/>
    </row>
    <row r="72" spans="1:5" customFormat="1" ht="16" x14ac:dyDescent="0.2">
      <c r="A72" s="19"/>
      <c r="B72" s="19"/>
      <c r="C72" s="20"/>
      <c r="D72" s="20"/>
      <c r="E72" s="19"/>
    </row>
    <row r="73" spans="1:5" customFormat="1" ht="16" x14ac:dyDescent="0.2">
      <c r="A73" s="19"/>
      <c r="B73" s="19"/>
      <c r="C73" s="20"/>
      <c r="D73" s="20"/>
      <c r="E73" s="19"/>
    </row>
    <row r="74" spans="1:5" customFormat="1" ht="16" x14ac:dyDescent="0.2">
      <c r="A74" s="19"/>
      <c r="B74" s="19"/>
      <c r="C74" s="20"/>
      <c r="D74" s="20"/>
      <c r="E74" s="19"/>
    </row>
    <row r="75" spans="1:5" customFormat="1" ht="16" x14ac:dyDescent="0.2">
      <c r="A75" s="19"/>
      <c r="B75" s="19"/>
      <c r="C75" s="20"/>
      <c r="D75" s="20"/>
      <c r="E75" s="19"/>
    </row>
    <row r="76" spans="1:5" customFormat="1" ht="16" x14ac:dyDescent="0.2">
      <c r="A76" s="19"/>
      <c r="B76" s="19"/>
      <c r="C76" s="20"/>
      <c r="D76" s="20"/>
      <c r="E76" s="19"/>
    </row>
    <row r="77" spans="1:5" customFormat="1" ht="16" x14ac:dyDescent="0.2">
      <c r="A77" s="19"/>
      <c r="B77" s="19"/>
      <c r="C77" s="20"/>
      <c r="D77" s="20"/>
      <c r="E77" s="19"/>
    </row>
    <row r="78" spans="1:5" customFormat="1" ht="16" x14ac:dyDescent="0.2">
      <c r="A78" s="19"/>
      <c r="B78" s="19"/>
      <c r="C78" s="20"/>
      <c r="D78" s="20"/>
      <c r="E78" s="19"/>
    </row>
    <row r="79" spans="1:5" customFormat="1" ht="16" x14ac:dyDescent="0.2">
      <c r="A79" s="19"/>
      <c r="B79" s="19"/>
      <c r="C79" s="20"/>
      <c r="D79" s="20"/>
      <c r="E79" s="19"/>
    </row>
    <row r="80" spans="1:5" customFormat="1" ht="16" x14ac:dyDescent="0.2">
      <c r="A80" s="19"/>
      <c r="B80" s="19"/>
      <c r="C80" s="20"/>
      <c r="D80" s="20"/>
      <c r="E80" s="19"/>
    </row>
    <row r="81" spans="1:5" customFormat="1" ht="16" x14ac:dyDescent="0.2">
      <c r="A81" s="19"/>
      <c r="B81" s="19"/>
      <c r="C81" s="20"/>
      <c r="D81" s="20"/>
      <c r="E81" s="19"/>
    </row>
    <row r="82" spans="1:5" customFormat="1" ht="16" x14ac:dyDescent="0.2">
      <c r="A82" s="19"/>
      <c r="B82" s="19"/>
      <c r="C82" s="20"/>
      <c r="D82" s="20"/>
      <c r="E82" s="19"/>
    </row>
    <row r="83" spans="1:5" customFormat="1" ht="16" x14ac:dyDescent="0.2">
      <c r="A83" s="19"/>
      <c r="B83" s="19"/>
      <c r="C83" s="20"/>
      <c r="D83" s="20"/>
      <c r="E83" s="19"/>
    </row>
    <row r="84" spans="1:5" customFormat="1" ht="16" x14ac:dyDescent="0.2">
      <c r="A84" s="19"/>
      <c r="B84" s="19"/>
      <c r="C84" s="20"/>
      <c r="D84" s="20"/>
      <c r="E84" s="19"/>
    </row>
    <row r="85" spans="1:5" customFormat="1" ht="16" x14ac:dyDescent="0.2">
      <c r="A85" s="19"/>
      <c r="B85" s="19"/>
      <c r="C85" s="20"/>
      <c r="D85" s="20"/>
      <c r="E85" s="19"/>
    </row>
    <row r="86" spans="1:5" customFormat="1" ht="16" x14ac:dyDescent="0.2">
      <c r="A86" s="19"/>
      <c r="B86" s="19"/>
      <c r="C86" s="20"/>
      <c r="D86" s="20"/>
      <c r="E86" s="19"/>
    </row>
    <row r="87" spans="1:5" customFormat="1" ht="16" x14ac:dyDescent="0.2">
      <c r="A87" s="19"/>
      <c r="B87" s="19"/>
      <c r="C87" s="20"/>
      <c r="D87" s="20"/>
      <c r="E87" s="19"/>
    </row>
    <row r="88" spans="1:5" customFormat="1" ht="16" x14ac:dyDescent="0.2">
      <c r="A88" s="19"/>
      <c r="B88" s="19"/>
      <c r="C88" s="20"/>
      <c r="D88" s="20"/>
      <c r="E88" s="19"/>
    </row>
    <row r="89" spans="1:5" customFormat="1" ht="16" x14ac:dyDescent="0.2">
      <c r="A89" s="19"/>
      <c r="B89" s="19"/>
      <c r="C89" s="20"/>
      <c r="D89" s="20"/>
      <c r="E89" s="19"/>
    </row>
    <row r="90" spans="1:5" customFormat="1" ht="16" x14ac:dyDescent="0.2">
      <c r="A90" s="19"/>
      <c r="B90" s="19"/>
      <c r="C90" s="20"/>
      <c r="D90" s="20"/>
      <c r="E90" s="19"/>
    </row>
  </sheetData>
  <pageMargins left="0.25" right="0.25" top="0.5" bottom="0.5" header="0.3" footer="0.3"/>
  <pageSetup paperSize="9" scale="41" fitToHeight="2" orientation="landscape" r:id="rId1"/>
  <headerFooter>
    <oddHeader>&amp;L&amp;G</oddHeader>
  </headerFooter>
  <ignoredErrors>
    <ignoredError sqref="D10" formula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50.83203125" defaultRowHeight="50" customHeight="1" x14ac:dyDescent="0.2"/>
  <cols>
    <col min="1" max="1" width="42.83203125" style="1" customWidth="1"/>
    <col min="2" max="2" width="72.1640625" style="1" customWidth="1"/>
    <col min="3" max="3" width="55.5" style="1" customWidth="1"/>
    <col min="4" max="4" width="50.83203125" style="73" customWidth="1"/>
    <col min="5" max="19" width="50.83203125" style="1"/>
    <col min="20" max="20" width="50.83203125" style="1" customWidth="1"/>
    <col min="21" max="21" width="0.1640625" style="1" customWidth="1"/>
    <col min="22" max="22" width="0.83203125" style="1" customWidth="1"/>
    <col min="23" max="23" width="0.1640625" style="1" customWidth="1"/>
    <col min="24" max="16384" width="50.83203125" style="1"/>
  </cols>
  <sheetData>
    <row r="1" spans="1:14" ht="67" customHeight="1" x14ac:dyDescent="0.2">
      <c r="B1" s="2"/>
      <c r="D1" s="1"/>
    </row>
    <row r="2" spans="1:14" ht="129" customHeight="1" x14ac:dyDescent="0.2">
      <c r="B2" s="2"/>
      <c r="D2" s="1"/>
    </row>
    <row r="3" spans="1:14" ht="50" customHeight="1" x14ac:dyDescent="0.2">
      <c r="A3" s="3" t="s">
        <v>0</v>
      </c>
      <c r="B3" s="44">
        <v>46119</v>
      </c>
      <c r="D3"/>
    </row>
    <row r="4" spans="1:14" s="14" customFormat="1" ht="50" customHeight="1" x14ac:dyDescent="0.2">
      <c r="A4" s="22"/>
      <c r="B4" s="23"/>
      <c r="C4" s="1"/>
      <c r="D4"/>
    </row>
    <row r="5" spans="1:14" s="14" customFormat="1" ht="50" customHeight="1" x14ac:dyDescent="0.2">
      <c r="A5" s="27" t="s">
        <v>19</v>
      </c>
      <c r="B5" s="25" t="s">
        <v>3</v>
      </c>
      <c r="C5" s="25" t="s">
        <v>178</v>
      </c>
      <c r="D5" s="25" t="s">
        <v>177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s="15" customFormat="1" ht="50" customHeight="1" x14ac:dyDescent="0.2">
      <c r="A6" s="11" t="s">
        <v>20</v>
      </c>
      <c r="B6" s="24" t="s">
        <v>7</v>
      </c>
      <c r="C6" s="12" t="s">
        <v>181</v>
      </c>
      <c r="D6" s="12" t="s">
        <v>180</v>
      </c>
      <c r="E6" s="16"/>
      <c r="F6" s="16"/>
      <c r="G6" s="16"/>
      <c r="H6" s="16"/>
      <c r="I6" s="14"/>
      <c r="J6" s="16"/>
      <c r="K6" s="16"/>
      <c r="L6" s="16"/>
      <c r="M6" s="16"/>
      <c r="N6" s="16"/>
    </row>
    <row r="7" spans="1:14" s="15" customFormat="1" ht="50" customHeight="1" x14ac:dyDescent="0.2">
      <c r="A7" s="39" t="s">
        <v>256</v>
      </c>
      <c r="B7" s="34" t="s">
        <v>174</v>
      </c>
      <c r="C7" s="28">
        <f ca="1">IFERROR(
   COUNTIF(INDIRECT("'" &amp; LOOKUP("zzz",$A$7:A7) &amp; "'!C:C"), B7),
   0
)</f>
        <v>0</v>
      </c>
      <c r="D7" s="70" cm="1">
        <f t="array" aca="1" ref="D7" ca="1">IFERROR(
  COUNTIFS(
    INDIRECT("'" &amp; LOOKUP(2,1/($A$7:A7&lt;&gt;""),$A$7:A7) &amp; "'!C:C"), $B7,
    INDIRECT("'" &amp; LOOKUP(2,1/($A$7:A7&lt;&gt;""),$A$7:A7) &amp; "'!E:E"), "&gt;=" &amp; ($B$3-6),
    INDIRECT("'" &amp; LOOKUP(2,1/($A$7:A7&lt;&gt;""),$A$7:A7) &amp; "'!E:E"), "&lt;=" &amp; $B$3
  ),
0)</f>
        <v>0</v>
      </c>
      <c r="E7" s="16"/>
      <c r="F7" s="16"/>
      <c r="G7" s="16"/>
      <c r="H7" s="16"/>
      <c r="I7" s="14"/>
      <c r="J7" s="16"/>
      <c r="K7" s="16"/>
      <c r="L7" s="16"/>
      <c r="M7" s="16"/>
      <c r="N7" s="16"/>
    </row>
    <row r="8" spans="1:14" s="16" customFormat="1" ht="50" customHeight="1" x14ac:dyDescent="0.2">
      <c r="A8" s="28"/>
      <c r="B8" s="32" t="s">
        <v>172</v>
      </c>
      <c r="C8" s="28">
        <f ca="1">IFERROR(
   COUNTIF(INDIRECT("'" &amp; LOOKUP("zzz",$A$7:A8) &amp; "'!C:C"), B8),
   0
)</f>
        <v>0</v>
      </c>
      <c r="D8" s="70" cm="1">
        <f t="array" aca="1" ref="D8" ca="1">IFERROR(
  COUNTIFS(
    INDIRECT("'" &amp; LOOKUP(2,1/($A$7:A8&lt;&gt;""),$A$7:A8) &amp; "'!C:C"), $B8,
    INDIRECT("'" &amp; LOOKUP(2,1/($A$7:A8&lt;&gt;""),$A$7:A8) &amp; "'!E:E"), "&gt;=" &amp; ($B$3-6),
    INDIRECT("'" &amp; LOOKUP(2,1/($A$7:A8&lt;&gt;""),$A$7:A8) &amp; "'!E:E"), "&lt;=" &amp; $B$3
  ),
0)</f>
        <v>0</v>
      </c>
      <c r="E8" s="26"/>
      <c r="F8" s="14"/>
      <c r="G8" s="14"/>
      <c r="H8" s="14"/>
      <c r="J8" s="14"/>
      <c r="K8" s="14"/>
      <c r="L8" s="14"/>
      <c r="M8" s="14"/>
      <c r="N8" s="14"/>
    </row>
    <row r="9" spans="1:14" s="14" customFormat="1" ht="50" customHeight="1" x14ac:dyDescent="0.2">
      <c r="A9" s="28"/>
      <c r="B9" s="32" t="s">
        <v>175</v>
      </c>
      <c r="C9" s="28">
        <f ca="1">IFERROR(
   COUNTIF(INDIRECT("'" &amp; LOOKUP("zzz",$A$7:A9) &amp; "'!C:C"), B9),
   0
)</f>
        <v>0</v>
      </c>
      <c r="D9" s="70" cm="1">
        <f t="array" aca="1" ref="D9" ca="1">IFERROR(
  COUNTIFS(
    INDIRECT("'" &amp; LOOKUP(2,1/($A$7:A9&lt;&gt;""),$A$7:A9) &amp; "'!C:C"), $B9,
    INDIRECT("'" &amp; LOOKUP(2,1/($A$7:A9&lt;&gt;""),$A$7:A9) &amp; "'!E:E"), "&gt;=" &amp; ($B$3-6),
    INDIRECT("'" &amp; LOOKUP(2,1/($A$7:A9&lt;&gt;""),$A$7:A9) &amp; "'!E:E"), "&lt;=" &amp; $B$3
  ),
0)</f>
        <v>0</v>
      </c>
    </row>
    <row r="10" spans="1:14" s="14" customFormat="1" ht="50" customHeight="1" x14ac:dyDescent="0.2">
      <c r="A10" s="28"/>
      <c r="B10" s="32" t="s">
        <v>173</v>
      </c>
      <c r="C10" s="28">
        <f ca="1">IFERROR(
   COUNTIF(INDIRECT("'" &amp; LOOKUP("zzz",$A$7:A10) &amp; "'!C:C"), B10),
   0
)</f>
        <v>0</v>
      </c>
      <c r="D10" s="70" cm="1">
        <f t="array" aca="1" ref="D10" ca="1">IFERROR(
  COUNTIFS(
    INDIRECT("'" &amp; LOOKUP(2,1/($A$7:A10&lt;&gt;""),$A$7:A10) &amp; "'!C:C"), $B10,
    INDIRECT("'" &amp; LOOKUP(2,1/($A$7:A10&lt;&gt;""),$A$7:A10) &amp; "'!E:E"), "&gt;=" &amp; ($B$3-6),
    INDIRECT("'" &amp; LOOKUP(2,1/($A$7:A10&lt;&gt;""),$A$7:A10) &amp; "'!E:E"), "&lt;=" &amp; $B$3
  ),
0)</f>
        <v>0</v>
      </c>
    </row>
    <row r="11" spans="1:14" s="14" customFormat="1" ht="50" customHeight="1" x14ac:dyDescent="0.2">
      <c r="A11" s="28"/>
      <c r="B11" s="32" t="s">
        <v>12</v>
      </c>
      <c r="C11" s="28">
        <f ca="1">IFERROR(
   COUNTIF(INDIRECT("'" &amp; LOOKUP("zzz",$A$7:A11) &amp; "'!C:C"), B11),
   0
)</f>
        <v>0</v>
      </c>
      <c r="D11" s="70" cm="1">
        <f t="array" aca="1" ref="D11" ca="1">IFERROR(
  COUNTIFS(
    INDIRECT("'" &amp; LOOKUP(2,1/($A$7:A11&lt;&gt;""),$A$7:A11) &amp; "'!C:C"), $B11,
    INDIRECT("'" &amp; LOOKUP(2,1/($A$7:A11&lt;&gt;""),$A$7:A11) &amp; "'!E:E"), "&gt;=" &amp; ($B$3-6),
    INDIRECT("'" &amp; LOOKUP(2,1/($A$7:A11&lt;&gt;""),$A$7:A11) &amp; "'!E:E"), "&lt;=" &amp; $B$3
  ),
0)</f>
        <v>0</v>
      </c>
    </row>
    <row r="12" spans="1:14" s="14" customFormat="1" ht="50" customHeight="1" x14ac:dyDescent="0.2">
      <c r="A12" s="28"/>
      <c r="B12" s="32" t="s">
        <v>169</v>
      </c>
      <c r="C12" s="28">
        <f ca="1">IFERROR(
   COUNTIF(INDIRECT("'" &amp; LOOKUP("zzz",$A$7:A12) &amp; "'!C:C"), B12),
   0
)</f>
        <v>0</v>
      </c>
      <c r="D12" s="70" cm="1">
        <f t="array" aca="1" ref="D12" ca="1">IFERROR(
  COUNTIFS(
    INDIRECT("'" &amp; LOOKUP(2,1/($A$7:A12&lt;&gt;""),$A$7:A12) &amp; "'!C:C"), $B12,
    INDIRECT("'" &amp; LOOKUP(2,1/($A$7:A12&lt;&gt;""),$A$7:A12) &amp; "'!E:E"), "&gt;=" &amp; ($B$3-6),
    INDIRECT("'" &amp; LOOKUP(2,1/($A$7:A12&lt;&gt;""),$A$7:A12) &amp; "'!E:E"), "&lt;=" &amp; $B$3
  ),
0)</f>
        <v>0</v>
      </c>
    </row>
    <row r="13" spans="1:14" s="14" customFormat="1" ht="50" customHeight="1" x14ac:dyDescent="0.2">
      <c r="A13" s="28"/>
      <c r="B13" s="32" t="s">
        <v>166</v>
      </c>
      <c r="C13" s="28">
        <f ca="1">IFERROR(
   COUNTIF(INDIRECT("'" &amp; LOOKUP("zzz",$A$7:A13) &amp; "'!C:C"), B13),
   0
)</f>
        <v>0</v>
      </c>
      <c r="D13" s="70" cm="1">
        <f t="array" aca="1" ref="D13" ca="1">IFERROR(
  COUNTIFS(
    INDIRECT("'" &amp; LOOKUP(2,1/($A$7:A13&lt;&gt;""),$A$7:A13) &amp; "'!C:C"), $B13,
    INDIRECT("'" &amp; LOOKUP(2,1/($A$7:A13&lt;&gt;""),$A$7:A13) &amp; "'!E:E"), "&gt;=" &amp; ($B$3-6),
    INDIRECT("'" &amp; LOOKUP(2,1/($A$7:A13&lt;&gt;""),$A$7:A13) &amp; "'!E:E"), "&lt;=" &amp; $B$3
  ),
0)</f>
        <v>0</v>
      </c>
    </row>
    <row r="14" spans="1:14" s="14" customFormat="1" ht="50" customHeight="1" x14ac:dyDescent="0.2">
      <c r="A14" s="28"/>
      <c r="B14" s="32" t="s">
        <v>168</v>
      </c>
      <c r="C14" s="28">
        <f ca="1">IFERROR(
   COUNTIF(INDIRECT("'" &amp; LOOKUP("zzz",$A$7:A14) &amp; "'!C:C"), B14),
   0
)</f>
        <v>0</v>
      </c>
      <c r="D14" s="70" cm="1">
        <f t="array" aca="1" ref="D14" ca="1">IFERROR(
  COUNTIFS(
    INDIRECT("'" &amp; LOOKUP(2,1/($A$7:A14&lt;&gt;""),$A$7:A14) &amp; "'!C:C"), $B14,
    INDIRECT("'" &amp; LOOKUP(2,1/($A$7:A14&lt;&gt;""),$A$7:A14) &amp; "'!E:E"), "&gt;=" &amp; ($B$3-6),
    INDIRECT("'" &amp; LOOKUP(2,1/($A$7:A14&lt;&gt;""),$A$7:A14) &amp; "'!E:E"), "&lt;=" &amp; $B$3
  ),
0)</f>
        <v>0</v>
      </c>
    </row>
    <row r="15" spans="1:14" s="14" customFormat="1" ht="50" customHeight="1" x14ac:dyDescent="0.2">
      <c r="A15" s="28"/>
      <c r="B15" s="32" t="s">
        <v>167</v>
      </c>
      <c r="C15" s="28">
        <f ca="1">IFERROR(
   COUNTIF(INDIRECT("'" &amp; LOOKUP("zzz",$A$7:A15) &amp; "'!C:C"), B15),
   0
)</f>
        <v>0</v>
      </c>
      <c r="D15" s="70" cm="1">
        <f t="array" aca="1" ref="D15" ca="1">IFERROR(
  COUNTIFS(
    INDIRECT("'" &amp; LOOKUP(2,1/($A$7:A15&lt;&gt;""),$A$7:A15) &amp; "'!C:C"), $B15,
    INDIRECT("'" &amp; LOOKUP(2,1/($A$7:A15&lt;&gt;""),$A$7:A15) &amp; "'!E:E"), "&gt;=" &amp; ($B$3-6),
    INDIRECT("'" &amp; LOOKUP(2,1/($A$7:A15&lt;&gt;""),$A$7:A15) &amp; "'!E:E"), "&lt;=" &amp; $B$3
  ),
0)</f>
        <v>0</v>
      </c>
    </row>
    <row r="16" spans="1:14" s="14" customFormat="1" ht="50" customHeight="1" x14ac:dyDescent="0.2">
      <c r="A16" s="28"/>
      <c r="B16" s="32" t="s">
        <v>321</v>
      </c>
      <c r="C16" s="28">
        <f ca="1">IFERROR(
   COUNTIF(INDIRECT("'" &amp; LOOKUP("zzz",$A$7:A16) &amp; "'!C:C"), B16),
   0
)</f>
        <v>0</v>
      </c>
      <c r="D16" s="70" cm="1">
        <f t="array" aca="1" ref="D16" ca="1">IFERROR(
  COUNTIFS(
    INDIRECT("'" &amp; LOOKUP(2,1/($A$7:A16&lt;&gt;""),$A$7:A16) &amp; "'!C:C"), $B16,
    INDIRECT("'" &amp; LOOKUP(2,1/($A$7:A16&lt;&gt;""),$A$7:A16) &amp; "'!E:E"), "&gt;=" &amp; ($B$3-6),
    INDIRECT("'" &amp; LOOKUP(2,1/($A$7:A16&lt;&gt;""),$A$7:A16) &amp; "'!E:E"), "&lt;=" &amp; $B$3
  ),
0)</f>
        <v>0</v>
      </c>
    </row>
    <row r="17" spans="1:4" s="14" customFormat="1" ht="50" customHeight="1" x14ac:dyDescent="0.2">
      <c r="A17" s="28"/>
      <c r="B17" s="32" t="s">
        <v>317</v>
      </c>
      <c r="C17" s="28">
        <f ca="1">IFERROR(
   COUNTIF(INDIRECT("'" &amp; LOOKUP("zzz",$A$7:A17) &amp; "'!C:C"), B17),
   0
)</f>
        <v>0</v>
      </c>
      <c r="D17" s="70" cm="1">
        <f t="array" aca="1" ref="D17" ca="1">IFERROR(
  COUNTIFS(
    INDIRECT("'" &amp; LOOKUP(2,1/($A$7:A17&lt;&gt;""),$A$7:A17) &amp; "'!C:C"), $B17,
    INDIRECT("'" &amp; LOOKUP(2,1/($A$7:A17&lt;&gt;""),$A$7:A17) &amp; "'!E:E"), "&gt;=" &amp; ($B$3-6),
    INDIRECT("'" &amp; LOOKUP(2,1/($A$7:A17&lt;&gt;""),$A$7:A17) &amp; "'!E:E"), "&lt;=" &amp; $B$3
  ),
0)</f>
        <v>0</v>
      </c>
    </row>
    <row r="18" spans="1:4" s="14" customFormat="1" ht="50" customHeight="1" x14ac:dyDescent="0.2">
      <c r="A18" s="37"/>
      <c r="B18" s="36" t="s">
        <v>322</v>
      </c>
      <c r="C18" s="37">
        <f ca="1">IFERROR(
   COUNTIF(INDIRECT("'" &amp; LOOKUP("zzz",$A$7:A18) &amp; "'!C:C"), B18),
   0
)</f>
        <v>0</v>
      </c>
      <c r="D18" s="41" cm="1">
        <f t="array" aca="1" ref="D18" ca="1">IFERROR(
  COUNTIFS(
    INDIRECT("'" &amp; LOOKUP(2,1/($A$7:A18&lt;&gt;""),$A$7:A18) &amp; "'!C:C"), $B18,
    INDIRECT("'" &amp; LOOKUP(2,1/($A$7:A18&lt;&gt;""),$A$7:A18) &amp; "'!E:E"), "&gt;=" &amp; ($B$3-6),
    INDIRECT("'" &amp; LOOKUP(2,1/($A$7:A18&lt;&gt;""),$A$7:A18) &amp; "'!E:E"), "&lt;=" &amp; $B$3
  ),
0)</f>
        <v>0</v>
      </c>
    </row>
    <row r="19" spans="1:4" s="14" customFormat="1" ht="50" customHeight="1" x14ac:dyDescent="0.2">
      <c r="A19" s="39" t="s">
        <v>253</v>
      </c>
      <c r="B19" s="34" t="s">
        <v>148</v>
      </c>
      <c r="C19" s="28">
        <f ca="1">IFERROR(
   COUNTIF(INDIRECT("'" &amp; LOOKUP("zzz",$A$7:A19) &amp; "'!C:C"), B19),
   0
)</f>
        <v>0</v>
      </c>
      <c r="D19" s="71" cm="1">
        <f t="array" aca="1" ref="D19" ca="1">IFERROR(
  COUNTIFS(
    INDIRECT("'" &amp; LOOKUP(2,1/($A$7:A19&lt;&gt;""),$A$7:A19) &amp; "'!C:C"), $B19,
    INDIRECT("'" &amp; LOOKUP(2,1/($A$7:A19&lt;&gt;""),$A$7:A19) &amp; "'!E:E"), "&gt;=" &amp; ($B$3-6),
    INDIRECT("'" &amp; LOOKUP(2,1/($A$7:A19&lt;&gt;""),$A$7:A19) &amp; "'!E:E"), "&lt;=" &amp; $B$3
  ),
0)</f>
        <v>0</v>
      </c>
    </row>
    <row r="20" spans="1:4" s="14" customFormat="1" ht="50" customHeight="1" x14ac:dyDescent="0.2">
      <c r="A20" s="28"/>
      <c r="B20" s="32" t="s">
        <v>164</v>
      </c>
      <c r="C20" s="28">
        <f ca="1">IFERROR(
   COUNTIF(INDIRECT("'" &amp; LOOKUP("zzz",$A$7:A20) &amp; "'!C:C"), B20),
   0
)</f>
        <v>0</v>
      </c>
      <c r="D20" s="41" cm="1">
        <f t="array" aca="1" ref="D20" ca="1">IFERROR(
  COUNTIFS(
    INDIRECT("'" &amp; LOOKUP(2,1/($A$7:A20&lt;&gt;""),$A$7:A20) &amp; "'!C:C"), $B20,
    INDIRECT("'" &amp; LOOKUP(2,1/($A$7:A20&lt;&gt;""),$A$7:A20) &amp; "'!E:E"), "&gt;=" &amp; ($B$3-6),
    INDIRECT("'" &amp; LOOKUP(2,1/($A$7:A20&lt;&gt;""),$A$7:A20) &amp; "'!E:E"), "&lt;=" &amp; $B$3
  ),
0)</f>
        <v>0</v>
      </c>
    </row>
    <row r="21" spans="1:4" s="14" customFormat="1" ht="50" customHeight="1" x14ac:dyDescent="0.2">
      <c r="A21" s="28"/>
      <c r="B21" s="32" t="s">
        <v>162</v>
      </c>
      <c r="C21" s="28">
        <f ca="1">IFERROR(
   COUNTIF(INDIRECT("'" &amp; LOOKUP("zzz",$A$7:A21) &amp; "'!C:C"), B21),
   0
)</f>
        <v>0</v>
      </c>
      <c r="D21" s="41" cm="1">
        <f t="array" aca="1" ref="D21" ca="1">IFERROR(
  COUNTIFS(
    INDIRECT("'" &amp; LOOKUP(2,1/($A$7:A21&lt;&gt;""),$A$7:A21) &amp; "'!C:C"), $B21,
    INDIRECT("'" &amp; LOOKUP(2,1/($A$7:A21&lt;&gt;""),$A$7:A21) &amp; "'!E:E"), "&gt;=" &amp; ($B$3-6),
    INDIRECT("'" &amp; LOOKUP(2,1/($A$7:A21&lt;&gt;""),$A$7:A21) &amp; "'!E:E"), "&lt;=" &amp; $B$3
  ),
0)</f>
        <v>0</v>
      </c>
    </row>
    <row r="22" spans="1:4" s="14" customFormat="1" ht="50" customHeight="1" x14ac:dyDescent="0.2">
      <c r="A22" s="28"/>
      <c r="B22" s="32" t="s">
        <v>156</v>
      </c>
      <c r="C22" s="28">
        <f ca="1">IFERROR(
   COUNTIF(INDIRECT("'" &amp; LOOKUP("zzz",$A$7:A22) &amp; "'!C:C"), B22),
   0
)</f>
        <v>0</v>
      </c>
      <c r="D22" s="41" cm="1">
        <f t="array" aca="1" ref="D22" ca="1">IFERROR(
  COUNTIFS(
    INDIRECT("'" &amp; LOOKUP(2,1/($A$7:A22&lt;&gt;""),$A$7:A22) &amp; "'!C:C"), $B22,
    INDIRECT("'" &amp; LOOKUP(2,1/($A$7:A22&lt;&gt;""),$A$7:A22) &amp; "'!E:E"), "&gt;=" &amp; ($B$3-6),
    INDIRECT("'" &amp; LOOKUP(2,1/($A$7:A22&lt;&gt;""),$A$7:A22) &amp; "'!E:E"), "&lt;=" &amp; $B$3
  ),
0)</f>
        <v>0</v>
      </c>
    </row>
    <row r="23" spans="1:4" s="18" customFormat="1" ht="50" customHeight="1" x14ac:dyDescent="0.2">
      <c r="A23" s="28"/>
      <c r="B23" s="32" t="s">
        <v>159</v>
      </c>
      <c r="C23" s="28">
        <f ca="1">IFERROR(
   COUNTIF(INDIRECT("'" &amp; LOOKUP("zzz",$A$7:A23) &amp; "'!C:C"), B23),
   0
)</f>
        <v>0</v>
      </c>
      <c r="D23" s="41" cm="1">
        <f t="array" aca="1" ref="D23" ca="1">IFERROR(
  COUNTIFS(
    INDIRECT("'" &amp; LOOKUP(2,1/($A$7:A23&lt;&gt;""),$A$7:A23) &amp; "'!C:C"), $B23,
    INDIRECT("'" &amp; LOOKUP(2,1/($A$7:A23&lt;&gt;""),$A$7:A23) &amp; "'!E:E"), "&gt;=" &amp; ($B$3-6),
    INDIRECT("'" &amp; LOOKUP(2,1/($A$7:A23&lt;&gt;""),$A$7:A23) &amp; "'!E:E"), "&lt;=" &amp; $B$3
  ),
0)</f>
        <v>0</v>
      </c>
    </row>
    <row r="24" spans="1:4" ht="50" customHeight="1" x14ac:dyDescent="0.2">
      <c r="A24" s="28"/>
      <c r="B24" s="32" t="s">
        <v>150</v>
      </c>
      <c r="C24" s="28">
        <f ca="1">IFERROR(
   COUNTIF(INDIRECT("'" &amp; LOOKUP("zzz",$A$7:A24) &amp; "'!C:C"), B24),
   0
)</f>
        <v>0</v>
      </c>
      <c r="D24" s="41" cm="1">
        <f t="array" aca="1" ref="D24" ca="1">IFERROR(
  COUNTIFS(
    INDIRECT("'" &amp; LOOKUP(2,1/($A$7:A24&lt;&gt;""),$A$7:A24) &amp; "'!C:C"), $B24,
    INDIRECT("'" &amp; LOOKUP(2,1/($A$7:A24&lt;&gt;""),$A$7:A24) &amp; "'!E:E"), "&gt;=" &amp; ($B$3-6),
    INDIRECT("'" &amp; LOOKUP(2,1/($A$7:A24&lt;&gt;""),$A$7:A24) &amp; "'!E:E"), "&lt;=" &amp; $B$3
  ),
0)</f>
        <v>0</v>
      </c>
    </row>
    <row r="25" spans="1:4" ht="50" customHeight="1" x14ac:dyDescent="0.2">
      <c r="A25" s="28"/>
      <c r="B25" s="32" t="s">
        <v>157</v>
      </c>
      <c r="C25" s="28">
        <f ca="1">IFERROR(
   COUNTIF(INDIRECT("'" &amp; LOOKUP("zzz",$A$7:A25) &amp; "'!C:C"), B25),
   0
)</f>
        <v>0</v>
      </c>
      <c r="D25" s="41" cm="1">
        <f t="array" aca="1" ref="D25" ca="1">IFERROR(
  COUNTIFS(
    INDIRECT("'" &amp; LOOKUP(2,1/($A$7:A25&lt;&gt;""),$A$7:A25) &amp; "'!C:C"), $B25,
    INDIRECT("'" &amp; LOOKUP(2,1/($A$7:A25&lt;&gt;""),$A$7:A25) &amp; "'!E:E"), "&gt;=" &amp; ($B$3-6),
    INDIRECT("'" &amp; LOOKUP(2,1/($A$7:A25&lt;&gt;""),$A$7:A25) &amp; "'!E:E"), "&lt;=" &amp; $B$3
  ),
0)</f>
        <v>0</v>
      </c>
    </row>
    <row r="26" spans="1:4" ht="50" customHeight="1" x14ac:dyDescent="0.2">
      <c r="A26" s="28"/>
      <c r="B26" s="32" t="s">
        <v>153</v>
      </c>
      <c r="C26" s="28">
        <f ca="1">IFERROR(
   COUNTIF(INDIRECT("'" &amp; LOOKUP("zzz",$A$7:A26) &amp; "'!C:C"), B26),
   0
)</f>
        <v>0</v>
      </c>
      <c r="D26" s="41" cm="1">
        <f t="array" aca="1" ref="D26" ca="1">IFERROR(
  COUNTIFS(
    INDIRECT("'" &amp; LOOKUP(2,1/($A$7:A26&lt;&gt;""),$A$7:A26) &amp; "'!C:C"), $B26,
    INDIRECT("'" &amp; LOOKUP(2,1/($A$7:A26&lt;&gt;""),$A$7:A26) &amp; "'!E:E"), "&gt;=" &amp; ($B$3-6),
    INDIRECT("'" &amp; LOOKUP(2,1/($A$7:A26&lt;&gt;""),$A$7:A26) &amp; "'!E:E"), "&lt;=" &amp; $B$3
  ),
0)</f>
        <v>0</v>
      </c>
    </row>
    <row r="27" spans="1:4" ht="50" customHeight="1" x14ac:dyDescent="0.2">
      <c r="A27" s="28"/>
      <c r="B27" s="32" t="s">
        <v>161</v>
      </c>
      <c r="C27" s="28">
        <f ca="1">IFERROR(
   COUNTIF(INDIRECT("'" &amp; LOOKUP("zzz",$A$7:A27) &amp; "'!C:C"), B27),
   0
)</f>
        <v>0</v>
      </c>
      <c r="D27" s="41" cm="1">
        <f t="array" aca="1" ref="D27" ca="1">IFERROR(
  COUNTIFS(
    INDIRECT("'" &amp; LOOKUP(2,1/($A$7:A27&lt;&gt;""),$A$7:A27) &amp; "'!C:C"), $B27,
    INDIRECT("'" &amp; LOOKUP(2,1/($A$7:A27&lt;&gt;""),$A$7:A27) &amp; "'!E:E"), "&gt;=" &amp; ($B$3-6),
    INDIRECT("'" &amp; LOOKUP(2,1/($A$7:A27&lt;&gt;""),$A$7:A27) &amp; "'!E:E"), "&lt;=" &amp; $B$3
  ),
0)</f>
        <v>0</v>
      </c>
    </row>
    <row r="28" spans="1:4" ht="50" customHeight="1" x14ac:dyDescent="0.2">
      <c r="A28" s="28"/>
      <c r="B28" s="32" t="s">
        <v>151</v>
      </c>
      <c r="C28" s="28">
        <f ca="1">IFERROR(
   COUNTIF(INDIRECT("'" &amp; LOOKUP("zzz",$A$7:A28) &amp; "'!C:C"), B28),
   0
)</f>
        <v>0</v>
      </c>
      <c r="D28" s="41" cm="1">
        <f t="array" aca="1" ref="D28" ca="1">IFERROR(
  COUNTIFS(
    INDIRECT("'" &amp; LOOKUP(2,1/($A$7:A28&lt;&gt;""),$A$7:A28) &amp; "'!C:C"), $B28,
    INDIRECT("'" &amp; LOOKUP(2,1/($A$7:A28&lt;&gt;""),$A$7:A28) &amp; "'!E:E"), "&gt;=" &amp; ($B$3-6),
    INDIRECT("'" &amp; LOOKUP(2,1/($A$7:A28&lt;&gt;""),$A$7:A28) &amp; "'!E:E"), "&lt;=" &amp; $B$3
  ),
0)</f>
        <v>0</v>
      </c>
    </row>
    <row r="29" spans="1:4" ht="50" customHeight="1" x14ac:dyDescent="0.2">
      <c r="A29" s="28"/>
      <c r="B29" s="32" t="s">
        <v>165</v>
      </c>
      <c r="C29" s="28">
        <f ca="1">IFERROR(
   COUNTIF(INDIRECT("'" &amp; LOOKUP("zzz",$A$7:A29) &amp; "'!C:C"), B29),
   0
)</f>
        <v>0</v>
      </c>
      <c r="D29" s="41" cm="1">
        <f t="array" aca="1" ref="D29" ca="1">IFERROR(
  COUNTIFS(
    INDIRECT("'" &amp; LOOKUP(2,1/($A$7:A29&lt;&gt;""),$A$7:A29) &amp; "'!C:C"), $B29,
    INDIRECT("'" &amp; LOOKUP(2,1/($A$7:A29&lt;&gt;""),$A$7:A29) &amp; "'!E:E"), "&gt;=" &amp; ($B$3-6),
    INDIRECT("'" &amp; LOOKUP(2,1/($A$7:A29&lt;&gt;""),$A$7:A29) &amp; "'!E:E"), "&lt;=" &amp; $B$3
  ),
0)</f>
        <v>0</v>
      </c>
    </row>
    <row r="30" spans="1:4" ht="50" customHeight="1" x14ac:dyDescent="0.2">
      <c r="A30" s="28"/>
      <c r="B30" s="32" t="s">
        <v>149</v>
      </c>
      <c r="C30" s="28">
        <f ca="1">IFERROR(
   COUNTIF(INDIRECT("'" &amp; LOOKUP("zzz",$A$7:A30) &amp; "'!C:C"), B30),
   0
)</f>
        <v>0</v>
      </c>
      <c r="D30" s="41" cm="1">
        <f t="array" aca="1" ref="D30" ca="1">IFERROR(
  COUNTIFS(
    INDIRECT("'" &amp; LOOKUP(2,1/($A$7:A30&lt;&gt;""),$A$7:A30) &amp; "'!C:C"), $B30,
    INDIRECT("'" &amp; LOOKUP(2,1/($A$7:A30&lt;&gt;""),$A$7:A30) &amp; "'!E:E"), "&gt;=" &amp; ($B$3-6),
    INDIRECT("'" &amp; LOOKUP(2,1/($A$7:A30&lt;&gt;""),$A$7:A30) &amp; "'!E:E"), "&lt;=" &amp; $B$3
  ),
0)</f>
        <v>0</v>
      </c>
    </row>
    <row r="31" spans="1:4" ht="50" customHeight="1" x14ac:dyDescent="0.2">
      <c r="A31" s="28"/>
      <c r="B31" s="32" t="s">
        <v>158</v>
      </c>
      <c r="C31" s="28">
        <f ca="1">IFERROR(
   COUNTIF(INDIRECT("'" &amp; LOOKUP("zzz",$A$7:A31) &amp; "'!C:C"), B31),
   0
)</f>
        <v>0</v>
      </c>
      <c r="D31" s="41" cm="1">
        <f t="array" aca="1" ref="D31" ca="1">IFERROR(
  COUNTIFS(
    INDIRECT("'" &amp; LOOKUP(2,1/($A$7:A31&lt;&gt;""),$A$7:A31) &amp; "'!C:C"), $B31,
    INDIRECT("'" &amp; LOOKUP(2,1/($A$7:A31&lt;&gt;""),$A$7:A31) &amp; "'!E:E"), "&gt;=" &amp; ($B$3-6),
    INDIRECT("'" &amp; LOOKUP(2,1/($A$7:A31&lt;&gt;""),$A$7:A31) &amp; "'!E:E"), "&lt;=" &amp; $B$3
  ),
0)</f>
        <v>0</v>
      </c>
    </row>
    <row r="32" spans="1:4" ht="50" customHeight="1" x14ac:dyDescent="0.2">
      <c r="A32" s="28"/>
      <c r="B32" s="32" t="s">
        <v>163</v>
      </c>
      <c r="C32" s="28">
        <f ca="1">IFERROR(
   COUNTIF(INDIRECT("'" &amp; LOOKUP("zzz",$A$7:A32) &amp; "'!C:C"), B32),
   0
)</f>
        <v>0</v>
      </c>
      <c r="D32" s="41" cm="1">
        <f t="array" aca="1" ref="D32" ca="1">IFERROR(
  COUNTIFS(
    INDIRECT("'" &amp; LOOKUP(2,1/($A$7:A32&lt;&gt;""),$A$7:A32) &amp; "'!C:C"), $B32,
    INDIRECT("'" &amp; LOOKUP(2,1/($A$7:A32&lt;&gt;""),$A$7:A32) &amp; "'!E:E"), "&gt;=" &amp; ($B$3-6),
    INDIRECT("'" &amp; LOOKUP(2,1/($A$7:A32&lt;&gt;""),$A$7:A32) &amp; "'!E:E"), "&lt;=" &amp; $B$3
  ),
0)</f>
        <v>0</v>
      </c>
    </row>
    <row r="33" spans="1:4" ht="50" customHeight="1" x14ac:dyDescent="0.2">
      <c r="A33" s="28"/>
      <c r="B33" s="32" t="s">
        <v>152</v>
      </c>
      <c r="C33" s="28">
        <f ca="1">IFERROR(
   COUNTIF(INDIRECT("'" &amp; LOOKUP("zzz",$A$7:A33) &amp; "'!C:C"), B33),
   0
)</f>
        <v>0</v>
      </c>
      <c r="D33" s="41" cm="1">
        <f t="array" aca="1" ref="D33" ca="1">IFERROR(
  COUNTIFS(
    INDIRECT("'" &amp; LOOKUP(2,1/($A$7:A33&lt;&gt;""),$A$7:A33) &amp; "'!C:C"), $B33,
    INDIRECT("'" &amp; LOOKUP(2,1/($A$7:A33&lt;&gt;""),$A$7:A33) &amp; "'!E:E"), "&gt;=" &amp; ($B$3-6),
    INDIRECT("'" &amp; LOOKUP(2,1/($A$7:A33&lt;&gt;""),$A$7:A33) &amp; "'!E:E"), "&lt;=" &amp; $B$3
  ),
0)</f>
        <v>0</v>
      </c>
    </row>
    <row r="34" spans="1:4" ht="50" customHeight="1" x14ac:dyDescent="0.2">
      <c r="A34" s="28"/>
      <c r="B34" s="32" t="s">
        <v>263</v>
      </c>
      <c r="C34" s="28">
        <f ca="1">IFERROR(
   COUNTIF(INDIRECT("'" &amp; LOOKUP("zzz",$A$7:A34) &amp; "'!C:C"), B34),
   0
)</f>
        <v>0</v>
      </c>
      <c r="D34" s="41" cm="1">
        <f t="array" aca="1" ref="D34" ca="1">IFERROR(
  COUNTIFS(
    INDIRECT("'" &amp; LOOKUP(2,1/($A$7:A34&lt;&gt;""),$A$7:A34) &amp; "'!C:C"), $B34,
    INDIRECT("'" &amp; LOOKUP(2,1/($A$7:A34&lt;&gt;""),$A$7:A34) &amp; "'!E:E"), "&gt;=" &amp; ($B$3-6),
    INDIRECT("'" &amp; LOOKUP(2,1/($A$7:A34&lt;&gt;""),$A$7:A34) &amp; "'!E:E"), "&lt;=" &amp; $B$3
  ),
0)</f>
        <v>0</v>
      </c>
    </row>
    <row r="35" spans="1:4" ht="50" customHeight="1" x14ac:dyDescent="0.2">
      <c r="A35" s="28"/>
      <c r="B35" s="32" t="s">
        <v>262</v>
      </c>
      <c r="C35" s="28">
        <f ca="1">IFERROR(
   COUNTIF(INDIRECT("'" &amp; LOOKUP("zzz",$A$7:A35) &amp; "'!C:C"), B35),
   0
)</f>
        <v>0</v>
      </c>
      <c r="D35" s="41" cm="1">
        <f t="array" aca="1" ref="D35" ca="1">IFERROR(
  COUNTIFS(
    INDIRECT("'" &amp; LOOKUP(2,1/($A$7:A35&lt;&gt;""),$A$7:A35) &amp; "'!C:C"), $B35,
    INDIRECT("'" &amp; LOOKUP(2,1/($A$7:A35&lt;&gt;""),$A$7:A35) &amp; "'!E:E"), "&gt;=" &amp; ($B$3-6),
    INDIRECT("'" &amp; LOOKUP(2,1/($A$7:A35&lt;&gt;""),$A$7:A35) &amp; "'!E:E"), "&lt;=" &amp; $B$3
  ),
0)</f>
        <v>0</v>
      </c>
    </row>
    <row r="36" spans="1:4" ht="50" customHeight="1" x14ac:dyDescent="0.2">
      <c r="A36" s="52"/>
      <c r="B36" s="55" t="s">
        <v>261</v>
      </c>
      <c r="C36" s="52">
        <f ca="1">IFERROR(
   COUNTIF(INDIRECT("'" &amp; LOOKUP("zzz",$A$7:A36) &amp; "'!C:C"), B36),
   0
)</f>
        <v>0</v>
      </c>
      <c r="D36" s="85" cm="1">
        <f t="array" aca="1" ref="D36" ca="1">IFERROR(
  COUNTIFS(
    INDIRECT("'" &amp; LOOKUP(2,1/($A$7:A36&lt;&gt;""),$A$7:A36) &amp; "'!C:C"), $B36,
    INDIRECT("'" &amp; LOOKUP(2,1/($A$7:A36&lt;&gt;""),$A$7:A36) &amp; "'!E:E"), "&gt;=" &amp; ($B$3-6),
    INDIRECT("'" &amp; LOOKUP(2,1/($A$7:A36&lt;&gt;""),$A$7:A36) &amp; "'!E:E"), "&lt;=" &amp; $B$3
  ),
0)</f>
        <v>0</v>
      </c>
    </row>
    <row r="37" spans="1:4" customFormat="1" ht="50" customHeight="1" x14ac:dyDescent="0.2">
      <c r="A37" s="30" t="s">
        <v>252</v>
      </c>
      <c r="B37" s="34" t="s">
        <v>146</v>
      </c>
      <c r="C37" s="30">
        <f ca="1">IFERROR(
   COUNTIF(INDIRECT("'" &amp; LOOKUP("zzz",$A$7:A37) &amp; "'!C:C"), B37),
   0
)</f>
        <v>0</v>
      </c>
      <c r="D37" s="42" cm="1">
        <f t="array" aca="1" ref="D37" ca="1">IFERROR(
  COUNTIFS(
    INDIRECT("'" &amp; LOOKUP(2,1/($A$7:A37&lt;&gt;""),$A$7:A37) &amp; "'!C:C"), $B37,
    INDIRECT("'" &amp; LOOKUP(2,1/($A$7:A37&lt;&gt;""),$A$7:A37) &amp; "'!E:E"), "&gt;=" &amp; ($B$3-6),
    INDIRECT("'" &amp; LOOKUP(2,1/($A$7:A37&lt;&gt;""),$A$7:A37) &amp; "'!E:E"), "&lt;=" &amp; $B$3
  ),
0)</f>
        <v>0</v>
      </c>
    </row>
    <row r="38" spans="1:4" customFormat="1" ht="50" customHeight="1" x14ac:dyDescent="0.2">
      <c r="A38" s="28"/>
      <c r="B38" s="32" t="s">
        <v>141</v>
      </c>
      <c r="C38" s="28">
        <f ca="1">IFERROR(
   COUNTIF(INDIRECT("'" &amp; LOOKUP("zzz",$A$7:A38) &amp; "'!C:C"), B38),
   0
)</f>
        <v>0</v>
      </c>
      <c r="D38" s="41" cm="1">
        <f t="array" aca="1" ref="D38" ca="1">IFERROR(
  COUNTIFS(
    INDIRECT("'" &amp; LOOKUP(2,1/($A$7:A38&lt;&gt;""),$A$7:A38) &amp; "'!C:C"), $B38,
    INDIRECT("'" &amp; LOOKUP(2,1/($A$7:A38&lt;&gt;""),$A$7:A38) &amp; "'!E:E"), "&gt;=" &amp; ($B$3-6),
    INDIRECT("'" &amp; LOOKUP(2,1/($A$7:A38&lt;&gt;""),$A$7:A38) &amp; "'!E:E"), "&lt;=" &amp; $B$3
  ),
0)</f>
        <v>0</v>
      </c>
    </row>
    <row r="39" spans="1:4" customFormat="1" ht="50" customHeight="1" x14ac:dyDescent="0.2">
      <c r="A39" s="28"/>
      <c r="B39" s="32" t="s">
        <v>142</v>
      </c>
      <c r="C39" s="28">
        <f ca="1">IFERROR(
   COUNTIF(INDIRECT("'" &amp; LOOKUP("zzz",$A$7:A39) &amp; "'!C:C"), B39),
   0
)</f>
        <v>0</v>
      </c>
      <c r="D39" s="41" cm="1">
        <f t="array" aca="1" ref="D39" ca="1">IFERROR(
  COUNTIFS(
    INDIRECT("'" &amp; LOOKUP(2,1/($A$7:A39&lt;&gt;""),$A$7:A39) &amp; "'!C:C"), $B39,
    INDIRECT("'" &amp; LOOKUP(2,1/($A$7:A39&lt;&gt;""),$A$7:A39) &amp; "'!E:E"), "&gt;=" &amp; ($B$3-6),
    INDIRECT("'" &amp; LOOKUP(2,1/($A$7:A39&lt;&gt;""),$A$7:A39) &amp; "'!E:E"), "&lt;=" &amp; $B$3
  ),
0)</f>
        <v>0</v>
      </c>
    </row>
    <row r="40" spans="1:4" customFormat="1" ht="50" customHeight="1" x14ac:dyDescent="0.2">
      <c r="A40" s="28"/>
      <c r="B40" s="32" t="s">
        <v>145</v>
      </c>
      <c r="C40" s="28">
        <f ca="1">IFERROR(
   COUNTIF(INDIRECT("'" &amp; LOOKUP("zzz",$A$7:A40) &amp; "'!C:C"), B40),
   0
)</f>
        <v>0</v>
      </c>
      <c r="D40" s="41" cm="1">
        <f t="array" aca="1" ref="D40" ca="1">IFERROR(
  COUNTIFS(
    INDIRECT("'" &amp; LOOKUP(2,1/($A$7:A40&lt;&gt;""),$A$7:A40) &amp; "'!C:C"), $B40,
    INDIRECT("'" &amp; LOOKUP(2,1/($A$7:A40&lt;&gt;""),$A$7:A40) &amp; "'!E:E"), "&gt;=" &amp; ($B$3-6),
    INDIRECT("'" &amp; LOOKUP(2,1/($A$7:A40&lt;&gt;""),$A$7:A40) &amp; "'!E:E"), "&lt;=" &amp; $B$3
  ),
0)</f>
        <v>0</v>
      </c>
    </row>
    <row r="41" spans="1:4" customFormat="1" ht="50" customHeight="1" x14ac:dyDescent="0.2">
      <c r="A41" s="28"/>
      <c r="B41" s="32" t="s">
        <v>144</v>
      </c>
      <c r="C41" s="28">
        <f ca="1">IFERROR(
   COUNTIF(INDIRECT("'" &amp; LOOKUP("zzz",$A$7:A41) &amp; "'!C:C"), B41),
   0
)</f>
        <v>0</v>
      </c>
      <c r="D41" s="41" cm="1">
        <f t="array" aca="1" ref="D41" ca="1">IFERROR(
  COUNTIFS(
    INDIRECT("'" &amp; LOOKUP(2,1/($A$7:A41&lt;&gt;""),$A$7:A41) &amp; "'!C:C"), $B41,
    INDIRECT("'" &amp; LOOKUP(2,1/($A$7:A41&lt;&gt;""),$A$7:A41) &amp; "'!E:E"), "&gt;=" &amp; ($B$3-6),
    INDIRECT("'" &amp; LOOKUP(2,1/($A$7:A41&lt;&gt;""),$A$7:A41) &amp; "'!E:E"), "&lt;=" &amp; $B$3
  ),
0)</f>
        <v>0</v>
      </c>
    </row>
    <row r="42" spans="1:4" customFormat="1" ht="50" customHeight="1" x14ac:dyDescent="0.2">
      <c r="A42" s="43"/>
      <c r="B42" s="51" t="s">
        <v>147</v>
      </c>
      <c r="C42" s="28">
        <f ca="1">IFERROR(
   COUNTIF(INDIRECT("'" &amp; LOOKUP("zzz",$A$7:A42) &amp; "'!C:C"), B42),
   0
)</f>
        <v>0</v>
      </c>
      <c r="D42" s="41" cm="1">
        <f t="array" aca="1" ref="D42" ca="1">IFERROR(
  COUNTIFS(
    INDIRECT("'" &amp; LOOKUP(2,1/($A$7:A42&lt;&gt;""),$A$7:A42) &amp; "'!C:C"), $B42,
    INDIRECT("'" &amp; LOOKUP(2,1/($A$7:A42&lt;&gt;""),$A$7:A42) &amp; "'!E:E"), "&gt;=" &amp; ($B$3-6),
    INDIRECT("'" &amp; LOOKUP(2,1/($A$7:A42&lt;&gt;""),$A$7:A42) &amp; "'!E:E"), "&lt;=" &amp; $B$3
  ),
0)</f>
        <v>0</v>
      </c>
    </row>
    <row r="43" spans="1:4" customFormat="1" ht="50" customHeight="1" x14ac:dyDescent="0.2">
      <c r="A43" s="43"/>
      <c r="B43" s="51" t="s">
        <v>187</v>
      </c>
      <c r="C43" s="28">
        <f ca="1">IFERROR(
   COUNTIF(INDIRECT("'" &amp; LOOKUP("zzz",$A$7:A43) &amp; "'!C:C"), B43),
   0
)</f>
        <v>0</v>
      </c>
      <c r="D43" s="41" cm="1">
        <f t="array" aca="1" ref="D43" ca="1">IFERROR(
  COUNTIFS(
    INDIRECT("'" &amp; LOOKUP(2,1/($A$7:A43&lt;&gt;""),$A$7:A43) &amp; "'!C:C"), $B43,
    INDIRECT("'" &amp; LOOKUP(2,1/($A$7:A43&lt;&gt;""),$A$7:A43) &amp; "'!E:E"), "&gt;=" &amp; ($B$3-6),
    INDIRECT("'" &amp; LOOKUP(2,1/($A$7:A43&lt;&gt;""),$A$7:A43) &amp; "'!E:E"), "&lt;=" &amp; $B$3
  ),
0)</f>
        <v>0</v>
      </c>
    </row>
    <row r="44" spans="1:4" customFormat="1" ht="50" customHeight="1" x14ac:dyDescent="0.2">
      <c r="A44" s="43"/>
      <c r="B44" s="51" t="s">
        <v>188</v>
      </c>
      <c r="C44" s="28">
        <f ca="1">IFERROR(
   COUNTIF(INDIRECT("'" &amp; LOOKUP("zzz",$A$7:A44) &amp; "'!C:C"), B44),
   0
)</f>
        <v>0</v>
      </c>
      <c r="D44" s="41" cm="1">
        <f t="array" aca="1" ref="D44" ca="1">IFERROR(
  COUNTIFS(
    INDIRECT("'" &amp; LOOKUP(2,1/($A$7:A44&lt;&gt;""),$A$7:A44) &amp; "'!C:C"), $B44,
    INDIRECT("'" &amp; LOOKUP(2,1/($A$7:A44&lt;&gt;""),$A$7:A44) &amp; "'!E:E"), "&gt;=" &amp; ($B$3-6),
    INDIRECT("'" &amp; LOOKUP(2,1/($A$7:A44&lt;&gt;""),$A$7:A44) &amp; "'!E:E"), "&lt;=" &amp; $B$3
  ),
0)</f>
        <v>0</v>
      </c>
    </row>
    <row r="45" spans="1:4" customFormat="1" ht="50" customHeight="1" x14ac:dyDescent="0.2">
      <c r="A45" s="43"/>
      <c r="B45" s="51" t="s">
        <v>189</v>
      </c>
      <c r="C45" s="28">
        <f ca="1">IFERROR(
   COUNTIF(INDIRECT("'" &amp; LOOKUP("zzz",$A$7:A45) &amp; "'!C:C"), B45),
   0
)</f>
        <v>0</v>
      </c>
      <c r="D45" s="41" cm="1">
        <f t="array" aca="1" ref="D45" ca="1">IFERROR(
  COUNTIFS(
    INDIRECT("'" &amp; LOOKUP(2,1/($A$7:A45&lt;&gt;""),$A$7:A45) &amp; "'!C:C"), $B45,
    INDIRECT("'" &amp; LOOKUP(2,1/($A$7:A45&lt;&gt;""),$A$7:A45) &amp; "'!E:E"), "&gt;=" &amp; ($B$3-6),
    INDIRECT("'" &amp; LOOKUP(2,1/($A$7:A45&lt;&gt;""),$A$7:A45) &amp; "'!E:E"), "&lt;=" &amp; $B$3
  ),
0)</f>
        <v>0</v>
      </c>
    </row>
    <row r="46" spans="1:4" customFormat="1" ht="50" customHeight="1" x14ac:dyDescent="0.2">
      <c r="A46" s="37"/>
      <c r="B46" s="36" t="s">
        <v>361</v>
      </c>
      <c r="C46" s="37">
        <f ca="1">IFERROR(
   COUNTIF(INDIRECT("'" &amp; LOOKUP("zzz",$A$7:A46) &amp; "'!C:C"), B46),
   0
)</f>
        <v>0</v>
      </c>
      <c r="D46" s="72" cm="1">
        <f t="array" aca="1" ref="D46" ca="1">IFERROR(
  COUNTIFS(
    INDIRECT("'" &amp; LOOKUP(2,1/($A$7:A46&lt;&gt;""),$A$7:A46) &amp; "'!C:C"), $B46,
    INDIRECT("'" &amp; LOOKUP(2,1/($A$7:A46&lt;&gt;""),$A$7:A46) &amp; "'!E:E"), "&gt;=" &amp; ($B$3-6),
    INDIRECT("'" &amp; LOOKUP(2,1/($A$7:A46&lt;&gt;""),$A$7:A46) &amp; "'!E:E"), "&lt;=" &amp; $B$3
  ),
0)</f>
        <v>0</v>
      </c>
    </row>
    <row r="47" spans="1:4" customFormat="1" ht="50" customHeight="1" x14ac:dyDescent="0.2">
      <c r="A47" s="30" t="s">
        <v>254</v>
      </c>
      <c r="B47" s="34" t="s">
        <v>304</v>
      </c>
      <c r="C47" s="30">
        <f ca="1">IFERROR(
   COUNTIF(INDIRECT("'" &amp; LOOKUP("zzz",$A$7:A47) &amp; "'!C:C"), B47),
   0
)</f>
        <v>0</v>
      </c>
      <c r="D47" s="71" cm="1">
        <f t="array" aca="1" ref="D47" ca="1">IFERROR(
  COUNTIFS(
    INDIRECT("'" &amp; LOOKUP(2,1/($A$7:A47&lt;&gt;""),$A$7:A47) &amp; "'!C:C"), $B47,
    INDIRECT("'" &amp; LOOKUP(2,1/($A$7:A47&lt;&gt;""),$A$7:A47) &amp; "'!E:E"), "&gt;=" &amp; ($B$3-6),
    INDIRECT("'" &amp; LOOKUP(2,1/($A$7:A47&lt;&gt;""),$A$7:A47) &amp; "'!E:E"), "&lt;=" &amp; $B$3
  ),
0)</f>
        <v>0</v>
      </c>
    </row>
    <row r="48" spans="1:4" customFormat="1" ht="50" customHeight="1" x14ac:dyDescent="0.2">
      <c r="A48" s="28"/>
      <c r="B48" s="32" t="s">
        <v>298</v>
      </c>
      <c r="C48" s="28">
        <f ca="1">IFERROR(
   COUNTIF(INDIRECT("'" &amp; LOOKUP("zzz",$A$7:A48) &amp; "'!C:C"), B48),
   0
)</f>
        <v>0</v>
      </c>
      <c r="D48" s="41" cm="1">
        <f t="array" aca="1" ref="D48" ca="1">IFERROR(
  COUNTIFS(
    INDIRECT("'" &amp; LOOKUP(2,1/($A$7:A48&lt;&gt;""),$A$7:A48) &amp; "'!C:C"), $B48,
    INDIRECT("'" &amp; LOOKUP(2,1/($A$7:A48&lt;&gt;""),$A$7:A48) &amp; "'!E:E"), "&gt;=" &amp; ($B$3-6),
    INDIRECT("'" &amp; LOOKUP(2,1/($A$7:A48&lt;&gt;""),$A$7:A48) &amp; "'!E:E"), "&lt;=" &amp; $B$3
  ),
0)</f>
        <v>0</v>
      </c>
    </row>
    <row r="49" spans="1:4" customFormat="1" ht="50" customHeight="1" x14ac:dyDescent="0.2">
      <c r="A49" s="28"/>
      <c r="B49" s="32" t="s">
        <v>294</v>
      </c>
      <c r="C49" s="28">
        <f ca="1">IFERROR(
   COUNTIF(INDIRECT("'" &amp; LOOKUP("zzz",$A$7:A49) &amp; "'!C:C"), B49),
   0
)</f>
        <v>0</v>
      </c>
      <c r="D49" s="41" cm="1">
        <f t="array" aca="1" ref="D49" ca="1">IFERROR(
  COUNTIFS(
    INDIRECT("'" &amp; LOOKUP(2,1/($A$7:A49&lt;&gt;""),$A$7:A49) &amp; "'!C:C"), $B49,
    INDIRECT("'" &amp; LOOKUP(2,1/($A$7:A49&lt;&gt;""),$A$7:A49) &amp; "'!E:E"), "&gt;=" &amp; ($B$3-6),
    INDIRECT("'" &amp; LOOKUP(2,1/($A$7:A49&lt;&gt;""),$A$7:A49) &amp; "'!E:E"), "&lt;=" &amp; $B$3
  ),
0)</f>
        <v>0</v>
      </c>
    </row>
    <row r="50" spans="1:4" customFormat="1" ht="50" customHeight="1" x14ac:dyDescent="0.2">
      <c r="A50" s="28"/>
      <c r="B50" s="32" t="s">
        <v>302</v>
      </c>
      <c r="C50" s="28">
        <f ca="1">IFERROR(
   COUNTIF(INDIRECT("'" &amp; LOOKUP("zzz",$A$7:A50) &amp; "'!C:C"), B50),
   0
)</f>
        <v>0</v>
      </c>
      <c r="D50" s="41" cm="1">
        <f t="array" aca="1" ref="D50" ca="1">IFERROR(
  COUNTIFS(
    INDIRECT("'" &amp; LOOKUP(2,1/($A$7:A50&lt;&gt;""),$A$7:A50) &amp; "'!C:C"), $B50,
    INDIRECT("'" &amp; LOOKUP(2,1/($A$7:A50&lt;&gt;""),$A$7:A50) &amp; "'!E:E"), "&gt;=" &amp; ($B$3-6),
    INDIRECT("'" &amp; LOOKUP(2,1/($A$7:A50&lt;&gt;""),$A$7:A50) &amp; "'!E:E"), "&lt;=" &amp; $B$3
  ),
0)</f>
        <v>0</v>
      </c>
    </row>
    <row r="51" spans="1:4" customFormat="1" ht="50" customHeight="1" x14ac:dyDescent="0.2">
      <c r="A51" s="28"/>
      <c r="B51" s="32" t="s">
        <v>290</v>
      </c>
      <c r="C51" s="28">
        <f ca="1">IFERROR(
   COUNTIF(INDIRECT("'" &amp; LOOKUP("zzz",$A$7:A51) &amp; "'!C:C"), B51),
   0
)</f>
        <v>0</v>
      </c>
      <c r="D51" s="41" cm="1">
        <f t="array" aca="1" ref="D51" ca="1">IFERROR(
  COUNTIFS(
    INDIRECT("'" &amp; LOOKUP(2,1/($A$7:A51&lt;&gt;""),$A$7:A51) &amp; "'!C:C"), $B51,
    INDIRECT("'" &amp; LOOKUP(2,1/($A$7:A51&lt;&gt;""),$A$7:A51) &amp; "'!E:E"), "&gt;=" &amp; ($B$3-6),
    INDIRECT("'" &amp; LOOKUP(2,1/($A$7:A51&lt;&gt;""),$A$7:A51) &amp; "'!E:E"), "&lt;=" &amp; $B$3
  ),
0)</f>
        <v>0</v>
      </c>
    </row>
    <row r="52" spans="1:4" customFormat="1" ht="50" customHeight="1" x14ac:dyDescent="0.2">
      <c r="A52" s="28"/>
      <c r="B52" s="32" t="s">
        <v>292</v>
      </c>
      <c r="C52" s="28">
        <f ca="1">IFERROR(
   COUNTIF(INDIRECT("'" &amp; LOOKUP("zzz",$A$7:A52) &amp; "'!C:C"), B52),
   0
)</f>
        <v>0</v>
      </c>
      <c r="D52" s="41" cm="1">
        <f t="array" aca="1" ref="D52" ca="1">IFERROR(
  COUNTIFS(
    INDIRECT("'" &amp; LOOKUP(2,1/($A$7:A52&lt;&gt;""),$A$7:A52) &amp; "'!C:C"), $B52,
    INDIRECT("'" &amp; LOOKUP(2,1/($A$7:A52&lt;&gt;""),$A$7:A52) &amp; "'!E:E"), "&gt;=" &amp; ($B$3-6),
    INDIRECT("'" &amp; LOOKUP(2,1/($A$7:A52&lt;&gt;""),$A$7:A52) &amp; "'!E:E"), "&lt;=" &amp; $B$3
  ),
0)</f>
        <v>0</v>
      </c>
    </row>
    <row r="53" spans="1:4" customFormat="1" ht="50" customHeight="1" x14ac:dyDescent="0.2">
      <c r="A53" s="28"/>
      <c r="B53" s="32" t="s">
        <v>305</v>
      </c>
      <c r="C53" s="28">
        <f ca="1">IFERROR(
   COUNTIF(INDIRECT("'" &amp; LOOKUP("zzz",$A$7:A53) &amp; "'!C:C"), B53),
   0
)</f>
        <v>0</v>
      </c>
      <c r="D53" s="41" cm="1">
        <f t="array" aca="1" ref="D53" ca="1">IFERROR(
  COUNTIFS(
    INDIRECT("'" &amp; LOOKUP(2,1/($A$7:A53&lt;&gt;""),$A$7:A53) &amp; "'!C:C"), $B53,
    INDIRECT("'" &amp; LOOKUP(2,1/($A$7:A53&lt;&gt;""),$A$7:A53) &amp; "'!E:E"), "&gt;=" &amp; ($B$3-6),
    INDIRECT("'" &amp; LOOKUP(2,1/($A$7:A53&lt;&gt;""),$A$7:A53) &amp; "'!E:E"), "&lt;=" &amp; $B$3
  ),
0)</f>
        <v>0</v>
      </c>
    </row>
    <row r="54" spans="1:4" customFormat="1" ht="50" customHeight="1" x14ac:dyDescent="0.2">
      <c r="A54" s="28"/>
      <c r="B54" s="32" t="s">
        <v>291</v>
      </c>
      <c r="C54" s="28">
        <f ca="1">IFERROR(
   COUNTIF(INDIRECT("'" &amp; LOOKUP("zzz",$A$7:A54) &amp; "'!C:C"), B54),
   0
)</f>
        <v>0</v>
      </c>
      <c r="D54" s="41" cm="1">
        <f t="array" aca="1" ref="D54" ca="1">IFERROR(
  COUNTIFS(
    INDIRECT("'" &amp; LOOKUP(2,1/($A$7:A54&lt;&gt;""),$A$7:A54) &amp; "'!C:C"), $B54,
    INDIRECT("'" &amp; LOOKUP(2,1/($A$7:A54&lt;&gt;""),$A$7:A54) &amp; "'!E:E"), "&gt;=" &amp; ($B$3-6),
    INDIRECT("'" &amp; LOOKUP(2,1/($A$7:A54&lt;&gt;""),$A$7:A54) &amp; "'!E:E"), "&lt;=" &amp; $B$3
  ),
0)</f>
        <v>0</v>
      </c>
    </row>
    <row r="55" spans="1:4" customFormat="1" ht="50" customHeight="1" x14ac:dyDescent="0.2">
      <c r="A55" s="28"/>
      <c r="B55" s="32" t="s">
        <v>289</v>
      </c>
      <c r="C55" s="28">
        <f ca="1">IFERROR(
   COUNTIF(INDIRECT("'" &amp; LOOKUP("zzz",$A$7:A55) &amp; "'!C:C"), B55),
   0
)</f>
        <v>0</v>
      </c>
      <c r="D55" s="41" cm="1">
        <f t="array" aca="1" ref="D55" ca="1">IFERROR(
  COUNTIFS(
    INDIRECT("'" &amp; LOOKUP(2,1/($A$7:A55&lt;&gt;""),$A$7:A55) &amp; "'!C:C"), $B55,
    INDIRECT("'" &amp; LOOKUP(2,1/($A$7:A55&lt;&gt;""),$A$7:A55) &amp; "'!E:E"), "&gt;=" &amp; ($B$3-6),
    INDIRECT("'" &amp; LOOKUP(2,1/($A$7:A55&lt;&gt;""),$A$7:A55) &amp; "'!E:E"), "&lt;=" &amp; $B$3
  ),
0)</f>
        <v>0</v>
      </c>
    </row>
    <row r="56" spans="1:4" customFormat="1" ht="50" customHeight="1" x14ac:dyDescent="0.2">
      <c r="A56" s="28"/>
      <c r="B56" s="32" t="s">
        <v>303</v>
      </c>
      <c r="C56" s="28">
        <f ca="1">IFERROR(
   COUNTIF(INDIRECT("'" &amp; LOOKUP("zzz",$A$7:A56) &amp; "'!C:C"), B56),
   0
)</f>
        <v>0</v>
      </c>
      <c r="D56" s="41" cm="1">
        <f t="array" aca="1" ref="D56" ca="1">IFERROR(
  COUNTIFS(
    INDIRECT("'" &amp; LOOKUP(2,1/($A$7:A56&lt;&gt;""),$A$7:A56) &amp; "'!C:C"), $B56,
    INDIRECT("'" &amp; LOOKUP(2,1/($A$7:A56&lt;&gt;""),$A$7:A56) &amp; "'!E:E"), "&gt;=" &amp; ($B$3-6),
    INDIRECT("'" &amp; LOOKUP(2,1/($A$7:A56&lt;&gt;""),$A$7:A56) &amp; "'!E:E"), "&lt;=" &amp; $B$3
  ),
0)</f>
        <v>0</v>
      </c>
    </row>
    <row r="57" spans="1:4" customFormat="1" ht="50" customHeight="1" x14ac:dyDescent="0.2">
      <c r="A57" s="28"/>
      <c r="B57" s="32" t="s">
        <v>288</v>
      </c>
      <c r="C57" s="28">
        <f ca="1">IFERROR(
   COUNTIF(INDIRECT("'" &amp; LOOKUP("zzz",$A$7:A57) &amp; "'!C:C"), B57),
   0
)</f>
        <v>0</v>
      </c>
      <c r="D57" s="41" cm="1">
        <f t="array" aca="1" ref="D57" ca="1">IFERROR(
  COUNTIFS(
    INDIRECT("'" &amp; LOOKUP(2,1/($A$7:A57&lt;&gt;""),$A$7:A57) &amp; "'!C:C"), $B57,
    INDIRECT("'" &amp; LOOKUP(2,1/($A$7:A57&lt;&gt;""),$A$7:A57) &amp; "'!E:E"), "&gt;=" &amp; ($B$3-6),
    INDIRECT("'" &amp; LOOKUP(2,1/($A$7:A57&lt;&gt;""),$A$7:A57) &amp; "'!E:E"), "&lt;=" &amp; $B$3
  ),
0)</f>
        <v>0</v>
      </c>
    </row>
    <row r="58" spans="1:4" customFormat="1" ht="50" customHeight="1" x14ac:dyDescent="0.2">
      <c r="A58" s="28"/>
      <c r="B58" s="32" t="s">
        <v>293</v>
      </c>
      <c r="C58" s="28">
        <f ca="1">IFERROR(
   COUNTIF(INDIRECT("'" &amp; LOOKUP("zzz",$A$7:A58) &amp; "'!C:C"), B58),
   0
)</f>
        <v>0</v>
      </c>
      <c r="D58" s="41" cm="1">
        <f t="array" aca="1" ref="D58" ca="1">IFERROR(
  COUNTIFS(
    INDIRECT("'" &amp; LOOKUP(2,1/($A$7:A58&lt;&gt;""),$A$7:A58) &amp; "'!C:C"), $B58,
    INDIRECT("'" &amp; LOOKUP(2,1/($A$7:A58&lt;&gt;""),$A$7:A58) &amp; "'!E:E"), "&gt;=" &amp; ($B$3-6),
    INDIRECT("'" &amp; LOOKUP(2,1/($A$7:A58&lt;&gt;""),$A$7:A58) &amp; "'!E:E"), "&lt;=" &amp; $B$3
  ),
0)</f>
        <v>0</v>
      </c>
    </row>
    <row r="59" spans="1:4" customFormat="1" ht="50" customHeight="1" x14ac:dyDescent="0.2">
      <c r="A59" s="28"/>
      <c r="B59" s="32" t="s">
        <v>300</v>
      </c>
      <c r="C59" s="28">
        <f ca="1">IFERROR(
   COUNTIF(INDIRECT("'" &amp; LOOKUP("zzz",$A$7:A59) &amp; "'!C:C"), B59),
   0
)</f>
        <v>0</v>
      </c>
      <c r="D59" s="41" cm="1">
        <f t="array" aca="1" ref="D59" ca="1">IFERROR(
  COUNTIFS(
    INDIRECT("'" &amp; LOOKUP(2,1/($A$7:A59&lt;&gt;""),$A$7:A59) &amp; "'!C:C"), $B59,
    INDIRECT("'" &amp; LOOKUP(2,1/($A$7:A59&lt;&gt;""),$A$7:A59) &amp; "'!E:E"), "&gt;=" &amp; ($B$3-6),
    INDIRECT("'" &amp; LOOKUP(2,1/($A$7:A59&lt;&gt;""),$A$7:A59) &amp; "'!E:E"), "&lt;=" &amp; $B$3
  ),
0)</f>
        <v>0</v>
      </c>
    </row>
    <row r="60" spans="1:4" customFormat="1" ht="50" customHeight="1" x14ac:dyDescent="0.2">
      <c r="A60" s="28"/>
      <c r="B60" s="32" t="s">
        <v>299</v>
      </c>
      <c r="C60" s="28">
        <f ca="1">IFERROR(
   COUNTIF(INDIRECT("'" &amp; LOOKUP("zzz",$A$7:A60) &amp; "'!C:C"), B60),
   0
)</f>
        <v>0</v>
      </c>
      <c r="D60" s="41" cm="1">
        <f t="array" aca="1" ref="D60" ca="1">IFERROR(
  COUNTIFS(
    INDIRECT("'" &amp; LOOKUP(2,1/($A$7:A60&lt;&gt;""),$A$7:A60) &amp; "'!C:C"), $B60,
    INDIRECT("'" &amp; LOOKUP(2,1/($A$7:A60&lt;&gt;""),$A$7:A60) &amp; "'!E:E"), "&gt;=" &amp; ($B$3-6),
    INDIRECT("'" &amp; LOOKUP(2,1/($A$7:A60&lt;&gt;""),$A$7:A60) &amp; "'!E:E"), "&lt;=" &amp; $B$3
  ),
0)</f>
        <v>0</v>
      </c>
    </row>
    <row r="61" spans="1:4" customFormat="1" ht="50" customHeight="1" x14ac:dyDescent="0.2">
      <c r="A61" s="28"/>
      <c r="B61" s="32" t="s">
        <v>295</v>
      </c>
      <c r="C61" s="28">
        <f ca="1">IFERROR(
   COUNTIF(INDIRECT("'" &amp; LOOKUP("zzz",$A$7:A61) &amp; "'!C:C"), B61),
   0
)</f>
        <v>0</v>
      </c>
      <c r="D61" s="41" cm="1">
        <f t="array" aca="1" ref="D61" ca="1">IFERROR(
  COUNTIFS(
    INDIRECT("'" &amp; LOOKUP(2,1/($A$7:A61&lt;&gt;""),$A$7:A61) &amp; "'!C:C"), $B61,
    INDIRECT("'" &amp; LOOKUP(2,1/($A$7:A61&lt;&gt;""),$A$7:A61) &amp; "'!E:E"), "&gt;=" &amp; ($B$3-6),
    INDIRECT("'" &amp; LOOKUP(2,1/($A$7:A61&lt;&gt;""),$A$7:A61) &amp; "'!E:E"), "&lt;=" &amp; $B$3
  ),
0)</f>
        <v>0</v>
      </c>
    </row>
    <row r="62" spans="1:4" customFormat="1" ht="50" customHeight="1" x14ac:dyDescent="0.2">
      <c r="A62" s="28"/>
      <c r="B62" s="32" t="s">
        <v>301</v>
      </c>
      <c r="C62" s="28">
        <f ca="1">IFERROR(
   COUNTIF(INDIRECT("'" &amp; LOOKUP("zzz",$A$7:A62) &amp; "'!C:C"), B62),
   0
)</f>
        <v>0</v>
      </c>
      <c r="D62" s="41" cm="1">
        <f t="array" aca="1" ref="D62" ca="1">IFERROR(
  COUNTIFS(
    INDIRECT("'" &amp; LOOKUP(2,1/($A$7:A62&lt;&gt;""),$A$7:A62) &amp; "'!C:C"), $B62,
    INDIRECT("'" &amp; LOOKUP(2,1/($A$7:A62&lt;&gt;""),$A$7:A62) &amp; "'!E:E"), "&gt;=" &amp; ($B$3-6),
    INDIRECT("'" &amp; LOOKUP(2,1/($A$7:A62&lt;&gt;""),$A$7:A62) &amp; "'!E:E"), "&lt;=" &amp; $B$3
  ),
0)</f>
        <v>0</v>
      </c>
    </row>
    <row r="63" spans="1:4" customFormat="1" ht="50" customHeight="1" x14ac:dyDescent="0.2">
      <c r="A63" s="52"/>
      <c r="B63" s="55" t="s">
        <v>296</v>
      </c>
      <c r="C63" s="52">
        <f ca="1">IFERROR(
   COUNTIF(INDIRECT("'" &amp; LOOKUP("zzz",$A$7:A63) &amp; "'!C:C"), B63),
   0
)</f>
        <v>0</v>
      </c>
      <c r="D63" s="85" cm="1">
        <f t="array" aca="1" ref="D63" ca="1">IFERROR(
  COUNTIFS(
    INDIRECT("'" &amp; LOOKUP(2,1/($A$7:A63&lt;&gt;""),$A$7:A63) &amp; "'!C:C"), $B63,
    INDIRECT("'" &amp; LOOKUP(2,1/($A$7:A63&lt;&gt;""),$A$7:A63) &amp; "'!E:E"), "&gt;=" &amp; ($B$3-6),
    INDIRECT("'" &amp; LOOKUP(2,1/($A$7:A63&lt;&gt;""),$A$7:A63) &amp; "'!E:E"), "&lt;=" &amp; $B$3
  ),
0)</f>
        <v>0</v>
      </c>
    </row>
    <row r="64" spans="1:4" customFormat="1" ht="50" customHeight="1" x14ac:dyDescent="0.2">
      <c r="A64" s="30" t="s">
        <v>255</v>
      </c>
      <c r="B64" s="34" t="s">
        <v>264</v>
      </c>
      <c r="C64" s="30">
        <f ca="1">IFERROR(
   COUNTIF(INDIRECT("'" &amp; LOOKUP("zzz",$A$7:A64) &amp; "'!C:C"), B64),
   0
)</f>
        <v>0</v>
      </c>
      <c r="D64" s="42" cm="1">
        <f t="array" aca="1" ref="D64" ca="1">IFERROR(
  COUNTIFS(
    INDIRECT("'" &amp; LOOKUP(2,1/($A$7:A64&lt;&gt;""),$A$7:A64) &amp; "'!C:C"), $B64,
    INDIRECT("'" &amp; LOOKUP(2,1/($A$7:A64&lt;&gt;""),$A$7:A64) &amp; "'!E:E"), "&gt;=" &amp; ($B$3-6),
    INDIRECT("'" &amp; LOOKUP(2,1/($A$7:A64&lt;&gt;""),$A$7:A64) &amp; "'!E:E"), "&lt;=" &amp; $B$3
  ),
0)</f>
        <v>0</v>
      </c>
    </row>
    <row r="65" spans="1:4" customFormat="1" ht="50" customHeight="1" x14ac:dyDescent="0.2">
      <c r="A65" s="28"/>
      <c r="B65" s="32" t="s">
        <v>309</v>
      </c>
      <c r="C65" s="28">
        <f ca="1">IFERROR(
   COUNTIF(INDIRECT("'" &amp; LOOKUP("zzz",$A$7:A65) &amp; "'!C:C"), B65),
   0
)</f>
        <v>0</v>
      </c>
      <c r="D65" s="41" cm="1">
        <f t="array" aca="1" ref="D65" ca="1">IFERROR(
  COUNTIFS(
    INDIRECT("'" &amp; LOOKUP(2,1/($A$7:A65&lt;&gt;""),$A$7:A65) &amp; "'!C:C"), $B65,
    INDIRECT("'" &amp; LOOKUP(2,1/($A$7:A65&lt;&gt;""),$A$7:A65) &amp; "'!E:E"), "&gt;=" &amp; ($B$3-6),
    INDIRECT("'" &amp; LOOKUP(2,1/($A$7:A65&lt;&gt;""),$A$7:A65) &amp; "'!E:E"), "&lt;=" &amp; $B$3
  ),
0)</f>
        <v>0</v>
      </c>
    </row>
    <row r="66" spans="1:4" customFormat="1" ht="50" customHeight="1" x14ac:dyDescent="0.2">
      <c r="A66" s="28"/>
      <c r="B66" s="32" t="s">
        <v>362</v>
      </c>
      <c r="C66" s="28">
        <f ca="1">IFERROR(
   COUNTIF(INDIRECT("'" &amp; LOOKUP("zzz",$A$7:A66) &amp; "'!C:C"), B66),
   0
)</f>
        <v>0</v>
      </c>
      <c r="D66" s="41" cm="1">
        <f t="array" aca="1" ref="D66" ca="1">IFERROR(
  COUNTIFS(
    INDIRECT("'" &amp; LOOKUP(2,1/($A$7:A66&lt;&gt;""),$A$7:A66) &amp; "'!C:C"), $B66,
    INDIRECT("'" &amp; LOOKUP(2,1/($A$7:A66&lt;&gt;""),$A$7:A66) &amp; "'!E:E"), "&gt;=" &amp; ($B$3-6),
    INDIRECT("'" &amp; LOOKUP(2,1/($A$7:A66&lt;&gt;""),$A$7:A66) &amp; "'!E:E"), "&lt;=" &amp; $B$3
  ),
0)</f>
        <v>0</v>
      </c>
    </row>
    <row r="67" spans="1:4" customFormat="1" ht="50" customHeight="1" x14ac:dyDescent="0.2">
      <c r="A67" s="28"/>
      <c r="B67" s="32" t="s">
        <v>308</v>
      </c>
      <c r="C67" s="28">
        <f ca="1">IFERROR(
   COUNTIF(INDIRECT("'" &amp; LOOKUP("zzz",$A$7:A67) &amp; "'!C:C"), B67),
   0
)</f>
        <v>0</v>
      </c>
      <c r="D67" s="41" cm="1">
        <f t="array" aca="1" ref="D67" ca="1">IFERROR(
  COUNTIFS(
    INDIRECT("'" &amp; LOOKUP(2,1/($A$7:A67&lt;&gt;""),$A$7:A67) &amp; "'!C:C"), $B67,
    INDIRECT("'" &amp; LOOKUP(2,1/($A$7:A67&lt;&gt;""),$A$7:A67) &amp; "'!E:E"), "&gt;=" &amp; ($B$3-6),
    INDIRECT("'" &amp; LOOKUP(2,1/($A$7:A67&lt;&gt;""),$A$7:A67) &amp; "'!E:E"), "&lt;=" &amp; $B$3
  ),
0)</f>
        <v>0</v>
      </c>
    </row>
    <row r="68" spans="1:4" customFormat="1" ht="50" customHeight="1" x14ac:dyDescent="0.2">
      <c r="A68" s="28"/>
      <c r="B68" s="32" t="s">
        <v>307</v>
      </c>
      <c r="C68" s="28">
        <f ca="1">IFERROR(
   COUNTIF(INDIRECT("'" &amp; LOOKUP("zzz",$A$7:A68) &amp; "'!C:C"), B68),
   0
)</f>
        <v>0</v>
      </c>
      <c r="D68" s="41" cm="1">
        <f t="array" aca="1" ref="D68" ca="1">IFERROR(
  COUNTIFS(
    INDIRECT("'" &amp; LOOKUP(2,1/($A$7:A68&lt;&gt;""),$A$7:A68) &amp; "'!C:C"), $B68,
    INDIRECT("'" &amp; LOOKUP(2,1/($A$7:A68&lt;&gt;""),$A$7:A68) &amp; "'!E:E"), "&gt;=" &amp; ($B$3-6),
    INDIRECT("'" &amp; LOOKUP(2,1/($A$7:A68&lt;&gt;""),$A$7:A68) &amp; "'!E:E"), "&lt;=" &amp; $B$3
  ),
0)</f>
        <v>0</v>
      </c>
    </row>
    <row r="69" spans="1:4" customFormat="1" ht="50" customHeight="1" x14ac:dyDescent="0.2">
      <c r="A69" s="28"/>
      <c r="B69" s="32" t="s">
        <v>287</v>
      </c>
      <c r="C69" s="28">
        <f ca="1">IFERROR(
   COUNTIF(INDIRECT("'" &amp; LOOKUP("zzz",$A$7:A69) &amp; "'!C:C"), B69),
   0
)</f>
        <v>0</v>
      </c>
      <c r="D69" s="41" cm="1">
        <f t="array" aca="1" ref="D69" ca="1">IFERROR(
  COUNTIFS(
    INDIRECT("'" &amp; LOOKUP(2,1/($A$7:A69&lt;&gt;""),$A$7:A69) &amp; "'!C:C"), $B69,
    INDIRECT("'" &amp; LOOKUP(2,1/($A$7:A69&lt;&gt;""),$A$7:A69) &amp; "'!E:E"), "&gt;=" &amp; ($B$3-6),
    INDIRECT("'" &amp; LOOKUP(2,1/($A$7:A69&lt;&gt;""),$A$7:A69) &amp; "'!E:E"), "&lt;=" &amp; $B$3
  ),
0)</f>
        <v>0</v>
      </c>
    </row>
    <row r="70" spans="1:4" customFormat="1" ht="50" customHeight="1" x14ac:dyDescent="0.2">
      <c r="A70" s="28"/>
      <c r="B70" s="32" t="s">
        <v>360</v>
      </c>
      <c r="C70" s="28">
        <f ca="1">IFERROR(
   COUNTIF(INDIRECT("'" &amp; LOOKUP("zzz",$A$7:A70) &amp; "'!C:C"), B70),
   0
)</f>
        <v>0</v>
      </c>
      <c r="D70" s="41" cm="1">
        <f t="array" aca="1" ref="D70" ca="1">IFERROR(
  COUNTIFS(
    INDIRECT("'" &amp; LOOKUP(2,1/($A$7:A70&lt;&gt;""),$A$7:A70) &amp; "'!C:C"), $B70,
    INDIRECT("'" &amp; LOOKUP(2,1/($A$7:A70&lt;&gt;""),$A$7:A70) &amp; "'!E:E"), "&gt;=" &amp; ($B$3-6),
    INDIRECT("'" &amp; LOOKUP(2,1/($A$7:A70&lt;&gt;""),$A$7:A70) &amp; "'!E:E"), "&lt;=" &amp; $B$3
  ),
0)</f>
        <v>0</v>
      </c>
    </row>
    <row r="71" spans="1:4" customFormat="1" ht="50" customHeight="1" x14ac:dyDescent="0.2">
      <c r="A71" s="37"/>
      <c r="B71" s="36" t="s">
        <v>306</v>
      </c>
      <c r="C71" s="37">
        <f ca="1">IFERROR(
   COUNTIF(INDIRECT("'" &amp; LOOKUP("zzz",$A$7:A71) &amp; "'!C:C"), B71),
   0
)</f>
        <v>0</v>
      </c>
      <c r="D71" s="72" cm="1">
        <f t="array" aca="1" ref="D71" ca="1">IFERROR(
  COUNTIFS(
    INDIRECT("'" &amp; LOOKUP(2,1/($A$7:A71&lt;&gt;""),$A$7:A71) &amp; "'!C:C"), $B71,
    INDIRECT("'" &amp; LOOKUP(2,1/($A$7:A71&lt;&gt;""),$A$7:A71) &amp; "'!E:E"), "&gt;=" &amp; ($B$3-6),
    INDIRECT("'" &amp; LOOKUP(2,1/($A$7:A71&lt;&gt;""),$A$7:A71) &amp; "'!E:E"), "&lt;=" &amp; $B$3
  ),
0)</f>
        <v>0</v>
      </c>
    </row>
    <row r="72" spans="1:4" customFormat="1" ht="50" customHeight="1" x14ac:dyDescent="0.2">
      <c r="A72" s="30" t="s">
        <v>34</v>
      </c>
      <c r="B72" s="34" t="s">
        <v>18</v>
      </c>
      <c r="C72" s="30">
        <f ca="1">IFERROR(
   COUNTIF(INDIRECT("'" &amp; LOOKUP("zzz",$A$7:A72) &amp; "'!C:C"), B72),
   0
)</f>
        <v>0</v>
      </c>
      <c r="D72" s="71" cm="1">
        <f t="array" aca="1" ref="D72" ca="1">IFERROR(
  COUNTIFS(
    INDIRECT("'" &amp; LOOKUP(2,1/($A$7:A72&lt;&gt;""),$A$7:A72) &amp; "'!C:C"), $B72,
    INDIRECT("'" &amp; LOOKUP(2,1/($A$7:A72&lt;&gt;""),$A$7:A72) &amp; "'!E:E"), "&gt;=" &amp; ($B$3-6),
    INDIRECT("'" &amp; LOOKUP(2,1/($A$7:A72&lt;&gt;""),$A$7:A72) &amp; "'!E:E"), "&lt;=" &amp; $B$3
  ),
0)</f>
        <v>0</v>
      </c>
    </row>
    <row r="73" spans="1:4" customFormat="1" ht="50" customHeight="1" x14ac:dyDescent="0.2">
      <c r="A73" s="28"/>
      <c r="B73" s="32" t="s">
        <v>55</v>
      </c>
      <c r="C73" s="28">
        <f ca="1">IFERROR(
   COUNTIF(INDIRECT("'" &amp; LOOKUP("zzz",$A$7:A73) &amp; "'!C:C"), B73),
   0
)</f>
        <v>0</v>
      </c>
      <c r="D73" s="41" cm="1">
        <f t="array" aca="1" ref="D73" ca="1">IFERROR(
  COUNTIFS(
    INDIRECT("'" &amp; LOOKUP(2,1/($A$7:A73&lt;&gt;""),$A$7:A73) &amp; "'!C:C"), $B73,
    INDIRECT("'" &amp; LOOKUP(2,1/($A$7:A73&lt;&gt;""),$A$7:A73) &amp; "'!E:E"), "&gt;=" &amp; ($B$3-6),
    INDIRECT("'" &amp; LOOKUP(2,1/($A$7:A73&lt;&gt;""),$A$7:A73) &amp; "'!E:E"), "&lt;=" &amp; $B$3
  ),
0)</f>
        <v>0</v>
      </c>
    </row>
    <row r="74" spans="1:4" customFormat="1" ht="50" customHeight="1" x14ac:dyDescent="0.2">
      <c r="A74" s="28"/>
      <c r="B74" s="68" t="s">
        <v>10</v>
      </c>
      <c r="C74" s="28">
        <f ca="1">IFERROR(
   COUNTIF(INDIRECT("'" &amp; LOOKUP("zzz",$A$7:A74) &amp; "'!C:C"), B74),
   0
)</f>
        <v>0</v>
      </c>
      <c r="D74" s="41" cm="1">
        <f t="array" aca="1" ref="D74" ca="1">IFERROR(
  COUNTIFS(
    INDIRECT("'" &amp; LOOKUP(2,1/($A$7:A74&lt;&gt;""),$A$7:A74) &amp; "'!C:C"), $B74,
    INDIRECT("'" &amp; LOOKUP(2,1/($A$7:A74&lt;&gt;""),$A$7:A74) &amp; "'!E:E"), "&gt;=" &amp; ($B$3-6),
    INDIRECT("'" &amp; LOOKUP(2,1/($A$7:A74&lt;&gt;""),$A$7:A74) &amp; "'!E:E"), "&lt;=" &amp; $B$3
  ),
0)</f>
        <v>0</v>
      </c>
    </row>
    <row r="75" spans="1:4" customFormat="1" ht="50" customHeight="1" x14ac:dyDescent="0.2">
      <c r="A75" s="28"/>
      <c r="B75" s="32" t="s">
        <v>94</v>
      </c>
      <c r="C75" s="28">
        <f ca="1">IFERROR(
   COUNTIF(INDIRECT("'" &amp; LOOKUP("zzz",$A$7:A75) &amp; "'!C:C"), B75),
   0
)</f>
        <v>0</v>
      </c>
      <c r="D75" s="41" cm="1">
        <f t="array" aca="1" ref="D75" ca="1">IFERROR(
  COUNTIFS(
    INDIRECT("'" &amp; LOOKUP(2,1/($A$7:A75&lt;&gt;""),$A$7:A75) &amp; "'!C:C"), $B75,
    INDIRECT("'" &amp; LOOKUP(2,1/($A$7:A75&lt;&gt;""),$A$7:A75) &amp; "'!E:E"), "&gt;=" &amp; ($B$3-6),
    INDIRECT("'" &amp; LOOKUP(2,1/($A$7:A75&lt;&gt;""),$A$7:A75) &amp; "'!E:E"), "&lt;=" &amp; $B$3
  ),
0)</f>
        <v>0</v>
      </c>
    </row>
    <row r="76" spans="1:4" customFormat="1" ht="50" customHeight="1" x14ac:dyDescent="0.2">
      <c r="A76" s="28"/>
      <c r="B76" s="32" t="s">
        <v>176</v>
      </c>
      <c r="C76" s="28">
        <f ca="1">IFERROR(
   COUNTIF(INDIRECT("'" &amp; LOOKUP("zzz",$A$7:A76) &amp; "'!C:C"), B76),
   0
)</f>
        <v>0</v>
      </c>
      <c r="D76" s="41" cm="1">
        <f t="array" aca="1" ref="D76" ca="1">IFERROR(
  COUNTIFS(
    INDIRECT("'" &amp; LOOKUP(2,1/($A$7:A76&lt;&gt;""),$A$7:A76) &amp; "'!C:C"), $B76,
    INDIRECT("'" &amp; LOOKUP(2,1/($A$7:A76&lt;&gt;""),$A$7:A76) &amp; "'!E:E"), "&gt;=" &amp; ($B$3-6),
    INDIRECT("'" &amp; LOOKUP(2,1/($A$7:A76&lt;&gt;""),$A$7:A76) &amp; "'!E:E"), "&lt;=" &amp; $B$3
  ),
0)</f>
        <v>0</v>
      </c>
    </row>
    <row r="77" spans="1:4" customFormat="1" ht="50" customHeight="1" x14ac:dyDescent="0.2">
      <c r="A77" s="28"/>
      <c r="B77" s="32" t="s">
        <v>197</v>
      </c>
      <c r="C77" s="28">
        <f ca="1">IFERROR(
   COUNTIF(INDIRECT("'" &amp; LOOKUP("zzz",$A$7:A77) &amp; "'!C:C"), B77),
   0
)</f>
        <v>0</v>
      </c>
      <c r="D77" s="41" cm="1">
        <f t="array" aca="1" ref="D77" ca="1">IFERROR(
  COUNTIFS(
    INDIRECT("'" &amp; LOOKUP(2,1/($A$7:A77&lt;&gt;""),$A$7:A77) &amp; "'!C:C"), $B77,
    INDIRECT("'" &amp; LOOKUP(2,1/($A$7:A77&lt;&gt;""),$A$7:A77) &amp; "'!E:E"), "&gt;=" &amp; ($B$3-6),
    INDIRECT("'" &amp; LOOKUP(2,1/($A$7:A77&lt;&gt;""),$A$7:A77) &amp; "'!E:E"), "&lt;=" &amp; $B$3
  ),
0)</f>
        <v>0</v>
      </c>
    </row>
    <row r="78" spans="1:4" customFormat="1" ht="50" customHeight="1" x14ac:dyDescent="0.2">
      <c r="A78" s="37"/>
      <c r="B78" s="36" t="s">
        <v>272</v>
      </c>
      <c r="C78" s="37">
        <f ca="1">IFERROR(
   COUNTIF(INDIRECT("'" &amp; LOOKUP("zzz",$A$7:A78) &amp; "'!C:C"), B78),
   0
)</f>
        <v>0</v>
      </c>
      <c r="D78" s="72" cm="1">
        <f t="array" aca="1" ref="D78" ca="1">IFERROR(
  COUNTIFS(
    INDIRECT("'" &amp; LOOKUP(2,1/($A$7:A78&lt;&gt;""),$A$7:A78) &amp; "'!C:C"), $B78,
    INDIRECT("'" &amp; LOOKUP(2,1/($A$7:A78&lt;&gt;""),$A$7:A78) &amp; "'!E:E"), "&gt;=" &amp; ($B$3-6),
    INDIRECT("'" &amp; LOOKUP(2,1/($A$7:A78&lt;&gt;""),$A$7:A78) &amp; "'!E:E"), "&lt;=" &amp; $B$3
  ),
0)</f>
        <v>0</v>
      </c>
    </row>
    <row r="79" spans="1:4" customFormat="1" ht="50" customHeight="1" x14ac:dyDescent="0.2">
      <c r="A79" s="39" t="s">
        <v>203</v>
      </c>
      <c r="B79" s="34" t="s">
        <v>248</v>
      </c>
      <c r="C79" s="30">
        <f ca="1">IFERROR(
   COUNTIF(INDIRECT("'" &amp; LOOKUP("zzz",$A$7:A79) &amp; "'!C:C"), B79),
   0
)</f>
        <v>0</v>
      </c>
      <c r="D79" s="71" cm="1">
        <f t="array" aca="1" ref="D79" ca="1">IFERROR(
  COUNTIFS(
    INDIRECT("'" &amp; LOOKUP(2,1/($A$7:A79&lt;&gt;""),$A$7:A79) &amp; "'!C:C"), $B79,
    INDIRECT("'" &amp; LOOKUP(2,1/($A$7:A79&lt;&gt;""),$A$7:A79) &amp; "'!E:E"), "&gt;=" &amp; ($B$3-6),
    INDIRECT("'" &amp; LOOKUP(2,1/($A$7:A79&lt;&gt;""),$A$7:A79) &amp; "'!E:E"), "&lt;=" &amp; $B$3
  ),
0)</f>
        <v>0</v>
      </c>
    </row>
    <row r="80" spans="1:4" customFormat="1" ht="50" customHeight="1" x14ac:dyDescent="0.2">
      <c r="A80" s="28"/>
      <c r="B80" s="32" t="s">
        <v>246</v>
      </c>
      <c r="C80" s="28">
        <f ca="1">IFERROR(
   COUNTIF(INDIRECT("'" &amp; LOOKUP("zzz",$A$7:A80) &amp; "'!C:C"), B80),
   0
)</f>
        <v>0</v>
      </c>
      <c r="D80" s="41" cm="1">
        <f t="array" aca="1" ref="D80" ca="1">IFERROR(
  COUNTIFS(
    INDIRECT("'" &amp; LOOKUP(2,1/($A$7:A80&lt;&gt;""),$A$7:A80) &amp; "'!C:C"), $B80,
    INDIRECT("'" &amp; LOOKUP(2,1/($A$7:A80&lt;&gt;""),$A$7:A80) &amp; "'!E:E"), "&gt;=" &amp; ($B$3-6),
    INDIRECT("'" &amp; LOOKUP(2,1/($A$7:A80&lt;&gt;""),$A$7:A80) &amp; "'!E:E"), "&lt;=" &amp; $B$3
  ),
0)</f>
        <v>0</v>
      </c>
    </row>
    <row r="81" spans="1:15" customFormat="1" ht="50" customHeight="1" x14ac:dyDescent="0.2">
      <c r="A81" s="52"/>
      <c r="B81" s="55" t="s">
        <v>109</v>
      </c>
      <c r="C81" s="52">
        <f ca="1">IFERROR(
   COUNTIF(INDIRECT("'" &amp; LOOKUP("zzz",$A$7:A81) &amp; "'!C:C"), B81),
   0
)</f>
        <v>0</v>
      </c>
      <c r="D81" s="72" cm="1">
        <f t="array" aca="1" ref="D81" ca="1">IFERROR(
  COUNTIFS(
    INDIRECT("'" &amp; LOOKUP(2,1/($A$7:A81&lt;&gt;""),$A$7:A81) &amp; "'!C:C"), $B81,
    INDIRECT("'" &amp; LOOKUP(2,1/($A$7:A81&lt;&gt;""),$A$7:A81) &amp; "'!E:E"), "&gt;=" &amp; ($B$3-6),
    INDIRECT("'" &amp; LOOKUP(2,1/($A$7:A81&lt;&gt;""),$A$7:A81) &amp; "'!E:E"), "&lt;=" &amp; $B$3
  ),
0)</f>
        <v>0</v>
      </c>
    </row>
    <row r="82" spans="1:15" customFormat="1" ht="50" customHeight="1" x14ac:dyDescent="0.2">
      <c r="A82" s="47" t="s">
        <v>202</v>
      </c>
      <c r="B82" s="48" t="s">
        <v>251</v>
      </c>
      <c r="C82" s="47">
        <f ca="1">IFERROR(
   COUNTIF(INDIRECT("'" &amp; LOOKUP("zzz",$A$7:A82) &amp; "'!C:C"), B82),
   0
)</f>
        <v>0</v>
      </c>
      <c r="D82" s="71" cm="1">
        <f t="array" aca="1" ref="D82" ca="1">IFERROR(
  COUNTIFS(
    INDIRECT("'" &amp; LOOKUP(2,1/($A$7:A82&lt;&gt;""),$A$7:A82) &amp; "'!C:C"), $B82,
    INDIRECT("'" &amp; LOOKUP(2,1/($A$7:A82&lt;&gt;""),$A$7:A82) &amp; "'!E:E"), "&gt;=" &amp; ($B$3-6),
    INDIRECT("'" &amp; LOOKUP(2,1/($A$7:A82&lt;&gt;""),$A$7:A82) &amp; "'!E:E"), "&lt;=" &amp; $B$3
  ),
0)</f>
        <v>0</v>
      </c>
    </row>
    <row r="83" spans="1:15" customFormat="1" ht="50" customHeight="1" x14ac:dyDescent="0.2">
      <c r="A83" s="28"/>
      <c r="B83" s="32" t="s">
        <v>250</v>
      </c>
      <c r="C83" s="28">
        <f ca="1">IFERROR(
   COUNTIF(INDIRECT("'" &amp; LOOKUP("zzz",$A$7:A83) &amp; "'!C:C"), B83),
   0
)</f>
        <v>0</v>
      </c>
      <c r="D83" s="41" cm="1">
        <f t="array" aca="1" ref="D83" ca="1">IFERROR(
  COUNTIFS(
    INDIRECT("'" &amp; LOOKUP(2,1/($A$7:A83&lt;&gt;""),$A$7:A83) &amp; "'!C:C"), $B83,
    INDIRECT("'" &amp; LOOKUP(2,1/($A$7:A83&lt;&gt;""),$A$7:A83) &amp; "'!E:E"), "&gt;=" &amp; ($B$3-6),
    INDIRECT("'" &amp; LOOKUP(2,1/($A$7:A83&lt;&gt;""),$A$7:A83) &amp; "'!E:E"), "&lt;=" &amp; $B$3
  ),
0)</f>
        <v>0</v>
      </c>
    </row>
    <row r="84" spans="1:15" customFormat="1" ht="50" customHeight="1" x14ac:dyDescent="0.2">
      <c r="A84" s="28"/>
      <c r="B84" s="32" t="s">
        <v>50</v>
      </c>
      <c r="C84" s="28">
        <f ca="1">IFERROR(
   COUNTIF(INDIRECT("'" &amp; LOOKUP("zzz",$A$7:A84) &amp; "'!C:C"), B84),
   0
)</f>
        <v>0</v>
      </c>
      <c r="D84" s="41" cm="1">
        <f t="array" aca="1" ref="D84" ca="1">IFERROR(
  COUNTIFS(
    INDIRECT("'" &amp; LOOKUP(2,1/($A$7:A84&lt;&gt;""),$A$7:A84) &amp; "'!C:C"), $B84,
    INDIRECT("'" &amp; LOOKUP(2,1/($A$7:A84&lt;&gt;""),$A$7:A84) &amp; "'!E:E"), "&gt;=" &amp; ($B$3-6),
    INDIRECT("'" &amp; LOOKUP(2,1/($A$7:A84&lt;&gt;""),$A$7:A84) &amp; "'!E:E"), "&lt;=" &amp; $B$3
  ),
0)</f>
        <v>0</v>
      </c>
    </row>
    <row r="85" spans="1:15" customFormat="1" ht="50" customHeight="1" x14ac:dyDescent="0.2">
      <c r="A85" s="52"/>
      <c r="B85" s="55" t="s">
        <v>249</v>
      </c>
      <c r="C85" s="52">
        <f ca="1">IFERROR(
   COUNTIF(INDIRECT("'" &amp; LOOKUP("zzz",$A$7:A85) &amp; "'!C:C"), B85),
   0
)</f>
        <v>0</v>
      </c>
      <c r="D85" s="72" cm="1">
        <f t="array" aca="1" ref="D85" ca="1">IFERROR(
  COUNTIFS(
    INDIRECT("'" &amp; LOOKUP(2,1/($A$7:A85&lt;&gt;""),$A$7:A85) &amp; "'!C:C"), $B85,
    INDIRECT("'" &amp; LOOKUP(2,1/($A$7:A85&lt;&gt;""),$A$7:A85) &amp; "'!E:E"), "&gt;=" &amp; ($B$3-6),
    INDIRECT("'" &amp; LOOKUP(2,1/($A$7:A85&lt;&gt;""),$A$7:A85) &amp; "'!E:E"), "&lt;=" &amp; $B$3
  ),
0)</f>
        <v>0</v>
      </c>
    </row>
    <row r="86" spans="1:15" customFormat="1" ht="50" customHeight="1" x14ac:dyDescent="0.2">
      <c r="A86" s="39" t="s">
        <v>201</v>
      </c>
      <c r="B86" s="34" t="s">
        <v>71</v>
      </c>
      <c r="C86" s="30">
        <f ca="1">IFERROR(
   COUNTIF(INDIRECT("'" &amp; LOOKUP("zzz",$A$7:A86) &amp; "'!C:C"), B86),
   0
)</f>
        <v>0</v>
      </c>
      <c r="D86" s="71" cm="1">
        <f t="array" aca="1" ref="D86" ca="1">IFERROR(
  COUNTIFS(
    INDIRECT("'" &amp; LOOKUP(2,1/($A$7:A86&lt;&gt;""),$A$7:A86) &amp; "'!C:C"), $B86,
    INDIRECT("'" &amp; LOOKUP(2,1/($A$7:A86&lt;&gt;""),$A$7:A86) &amp; "'!E:E"), "&gt;=" &amp; ($B$3-6),
    INDIRECT("'" &amp; LOOKUP(2,1/($A$7:A86&lt;&gt;""),$A$7:A86) &amp; "'!E:E"), "&lt;=" &amp; $B$3
  ),
0)</f>
        <v>0</v>
      </c>
    </row>
    <row r="87" spans="1:15" customFormat="1" ht="50" customHeight="1" x14ac:dyDescent="0.2">
      <c r="A87" s="28"/>
      <c r="B87" s="32" t="s">
        <v>231</v>
      </c>
      <c r="C87" s="28">
        <f ca="1">IFERROR(
   COUNTIF(INDIRECT("'" &amp; LOOKUP("zzz",$A$7:A87) &amp; "'!C:C"), B87),
   0
)</f>
        <v>0</v>
      </c>
      <c r="D87" s="41" cm="1">
        <f t="array" aca="1" ref="D87" ca="1">IFERROR(
  COUNTIFS(
    INDIRECT("'" &amp; LOOKUP(2,1/($A$7:A87&lt;&gt;""),$A$7:A87) &amp; "'!C:C"), $B87,
    INDIRECT("'" &amp; LOOKUP(2,1/($A$7:A87&lt;&gt;""),$A$7:A87) &amp; "'!E:E"), "&gt;=" &amp; ($B$3-6),
    INDIRECT("'" &amp; LOOKUP(2,1/($A$7:A87&lt;&gt;""),$A$7:A87) &amp; "'!E:E"), "&lt;=" &amp; $B$3
  ),
0)</f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customFormat="1" ht="50" customHeight="1" x14ac:dyDescent="0.2">
      <c r="A88" s="28"/>
      <c r="B88" s="32" t="s">
        <v>230</v>
      </c>
      <c r="C88" s="28">
        <f ca="1">IFERROR(
   COUNTIF(INDIRECT("'" &amp; LOOKUP("zzz",$A$7:A88) &amp; "'!C:C"), B88),
   0
)</f>
        <v>0</v>
      </c>
      <c r="D88" s="41" cm="1">
        <f t="array" aca="1" ref="D88" ca="1">IFERROR(
  COUNTIFS(
    INDIRECT("'" &amp; LOOKUP(2,1/($A$7:A88&lt;&gt;""),$A$7:A88) &amp; "'!C:C"), $B88,
    INDIRECT("'" &amp; LOOKUP(2,1/($A$7:A88&lt;&gt;""),$A$7:A88) &amp; "'!E:E"), "&gt;=" &amp; ($B$3-6),
    INDIRECT("'" &amp; LOOKUP(2,1/($A$7:A88&lt;&gt;""),$A$7:A88) &amp; "'!E:E"), "&lt;=" &amp; $B$3
  ),
0)</f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customFormat="1" ht="50" customHeight="1" x14ac:dyDescent="0.2">
      <c r="A89" s="52"/>
      <c r="B89" s="55" t="s">
        <v>229</v>
      </c>
      <c r="C89" s="52">
        <f ca="1">IFERROR(
   COUNTIF(INDIRECT("'" &amp; LOOKUP("zzz",$A$7:A89) &amp; "'!C:C"), B89),
   0
)</f>
        <v>0</v>
      </c>
      <c r="D89" s="72" cm="1">
        <f t="array" aca="1" ref="D89" ca="1">IFERROR(
  COUNTIFS(
    INDIRECT("'" &amp; LOOKUP(2,1/($A$7:A89&lt;&gt;""),$A$7:A89) &amp; "'!C:C"), $B89,
    INDIRECT("'" &amp; LOOKUP(2,1/($A$7:A89&lt;&gt;""),$A$7:A89) &amp; "'!E:E"), "&gt;=" &amp; ($B$3-6),
    INDIRECT("'" &amp; LOOKUP(2,1/($A$7:A89&lt;&gt;""),$A$7:A89) &amp; "'!E:E"), "&lt;=" &amp; $B$3
  ),
0)</f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customFormat="1" ht="50" customHeight="1" x14ac:dyDescent="0.2">
      <c r="A90" s="39" t="s">
        <v>200</v>
      </c>
      <c r="B90" s="34" t="s">
        <v>245</v>
      </c>
      <c r="C90" s="30">
        <f ca="1">IFERROR(
   COUNTIF(INDIRECT("'" &amp; LOOKUP("zzz",$A$7:A90) &amp; "'!C:C"), B90),
   0
)</f>
        <v>0</v>
      </c>
      <c r="D90" s="71" cm="1">
        <f t="array" aca="1" ref="D90" ca="1">IFERROR(
  COUNTIFS(
    INDIRECT("'" &amp; LOOKUP(2,1/($A$7:A90&lt;&gt;""),$A$7:A90) &amp; "'!C:C"), $B90,
    INDIRECT("'" &amp; LOOKUP(2,1/($A$7:A90&lt;&gt;""),$A$7:A90) &amp; "'!E:E"), "&gt;=" &amp; ($B$3-6),
    INDIRECT("'" &amp; LOOKUP(2,1/($A$7:A90&lt;&gt;""),$A$7:A90) &amp; "'!E:E"), "&lt;=" &amp; $B$3
  ),
0)</f>
        <v>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customFormat="1" ht="50" customHeight="1" x14ac:dyDescent="0.2">
      <c r="A91" s="28"/>
      <c r="B91" s="32" t="s">
        <v>244</v>
      </c>
      <c r="C91" s="28">
        <f ca="1">IFERROR(
   COUNTIF(INDIRECT("'" &amp; LOOKUP("zzz",$A$7:A91) &amp; "'!C:C"), B91),
   0
)</f>
        <v>0</v>
      </c>
      <c r="D91" s="41" cm="1">
        <f t="array" aca="1" ref="D91" ca="1">IFERROR(
  COUNTIFS(
    INDIRECT("'" &amp; LOOKUP(2,1/($A$7:A91&lt;&gt;""),$A$7:A91) &amp; "'!C:C"), $B91,
    INDIRECT("'" &amp; LOOKUP(2,1/($A$7:A91&lt;&gt;""),$A$7:A91) &amp; "'!E:E"), "&gt;=" &amp; ($B$3-6),
    INDIRECT("'" &amp; LOOKUP(2,1/($A$7:A91&lt;&gt;""),$A$7:A91) &amp; "'!E:E"), "&lt;=" &amp; $B$3
  ),
0)</f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customFormat="1" ht="50" customHeight="1" x14ac:dyDescent="0.2">
      <c r="A92" s="28"/>
      <c r="B92" s="32" t="s">
        <v>243</v>
      </c>
      <c r="C92" s="28">
        <f ca="1">IFERROR(
   COUNTIF(INDIRECT("'" &amp; LOOKUP("zzz",$A$7:A92) &amp; "'!C:C"), B92),
   0
)</f>
        <v>0</v>
      </c>
      <c r="D92" s="41" cm="1">
        <f t="array" aca="1" ref="D92" ca="1">IFERROR(
  COUNTIFS(
    INDIRECT("'" &amp; LOOKUP(2,1/($A$7:A92&lt;&gt;""),$A$7:A92) &amp; "'!C:C"), $B92,
    INDIRECT("'" &amp; LOOKUP(2,1/($A$7:A92&lt;&gt;""),$A$7:A92) &amp; "'!E:E"), "&gt;=" &amp; ($B$3-6),
    INDIRECT("'" &amp; LOOKUP(2,1/($A$7:A92&lt;&gt;""),$A$7:A92) &amp; "'!E:E"), "&lt;=" &amp; $B$3
  ),
0)</f>
        <v>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customFormat="1" ht="50" customHeight="1" x14ac:dyDescent="0.2">
      <c r="A93" s="28"/>
      <c r="B93" s="32" t="s">
        <v>242</v>
      </c>
      <c r="C93" s="28">
        <f ca="1">IFERROR(
   COUNTIF(INDIRECT("'" &amp; LOOKUP("zzz",$A$7:A93) &amp; "'!C:C"), B93),
   0
)</f>
        <v>0</v>
      </c>
      <c r="D93" s="41" cm="1">
        <f t="array" aca="1" ref="D93" ca="1">IFERROR(
  COUNTIFS(
    INDIRECT("'" &amp; LOOKUP(2,1/($A$7:A93&lt;&gt;""),$A$7:A93) &amp; "'!C:C"), $B93,
    INDIRECT("'" &amp; LOOKUP(2,1/($A$7:A93&lt;&gt;""),$A$7:A93) &amp; "'!E:E"), "&gt;=" &amp; ($B$3-6),
    INDIRECT("'" &amp; LOOKUP(2,1/($A$7:A93&lt;&gt;""),$A$7:A93) &amp; "'!E:E"), "&lt;=" &amp; $B$3
  ),
0)</f>
        <v>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customFormat="1" ht="50" customHeight="1" x14ac:dyDescent="0.2">
      <c r="A94" s="52"/>
      <c r="B94" s="55" t="s">
        <v>241</v>
      </c>
      <c r="C94" s="52">
        <f ca="1">IFERROR(
   COUNTIF(INDIRECT("'" &amp; LOOKUP("zzz",$A$7:A94) &amp; "'!C:C"), B94),
   0
)</f>
        <v>0</v>
      </c>
      <c r="D94" s="72" cm="1">
        <f t="array" aca="1" ref="D94" ca="1">IFERROR(
  COUNTIFS(
    INDIRECT("'" &amp; LOOKUP(2,1/($A$7:A94&lt;&gt;""),$A$7:A94) &amp; "'!C:C"), $B94,
    INDIRECT("'" &amp; LOOKUP(2,1/($A$7:A94&lt;&gt;""),$A$7:A94) &amp; "'!E:E"), "&gt;=" &amp; ($B$3-6),
    INDIRECT("'" &amp; LOOKUP(2,1/($A$7:A94&lt;&gt;""),$A$7:A94) &amp; "'!E:E"), "&lt;=" &amp; $B$3
  ),
0)</f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customFormat="1" ht="50" customHeight="1" x14ac:dyDescent="0.2">
      <c r="A95" s="30" t="s">
        <v>199</v>
      </c>
      <c r="B95" s="34" t="s">
        <v>232</v>
      </c>
      <c r="C95" s="30">
        <f ca="1">IFERROR(
   COUNTIF(INDIRECT("'" &amp; LOOKUP("zzz",$A$7:A95) &amp; "'!C:C"), B95),
   0
)</f>
        <v>0</v>
      </c>
      <c r="D95" s="71" cm="1">
        <f t="array" aca="1" ref="D95" ca="1">IFERROR(
  COUNTIFS(
    INDIRECT("'" &amp; LOOKUP(2,1/($A$7:A95&lt;&gt;""),$A$7:A95) &amp; "'!C:C"), $B95,
    INDIRECT("'" &amp; LOOKUP(2,1/($A$7:A95&lt;&gt;""),$A$7:A95) &amp; "'!E:E"), "&gt;=" &amp; ($B$3-6),
    INDIRECT("'" &amp; LOOKUP(2,1/($A$7:A95&lt;&gt;""),$A$7:A95) &amp; "'!E:E"), "&lt;=" &amp; $B$3
  ),
0)</f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50" customHeight="1" x14ac:dyDescent="0.2">
      <c r="A96" s="28"/>
      <c r="B96" s="32" t="s">
        <v>233</v>
      </c>
      <c r="C96" s="28">
        <f ca="1">IFERROR(
   COUNTIF(INDIRECT("'" &amp; LOOKUP("zzz",$A$7:A96) &amp; "'!C:C"), B96),
   0
)</f>
        <v>0</v>
      </c>
      <c r="D96" s="41" cm="1">
        <f t="array" aca="1" ref="D96" ca="1">IFERROR(
  COUNTIFS(
    INDIRECT("'" &amp; LOOKUP(2,1/($A$7:A96&lt;&gt;""),$A$7:A96) &amp; "'!C:C"), $B96,
    INDIRECT("'" &amp; LOOKUP(2,1/($A$7:A96&lt;&gt;""),$A$7:A96) &amp; "'!E:E"), "&gt;=" &amp; ($B$3-6),
    INDIRECT("'" &amp; LOOKUP(2,1/($A$7:A96&lt;&gt;""),$A$7:A96) &amp; "'!E:E"), "&lt;=" &amp; $B$3
  ),
0)</f>
        <v>0</v>
      </c>
    </row>
    <row r="97" spans="1:4" ht="50" customHeight="1" x14ac:dyDescent="0.2">
      <c r="A97" s="28"/>
      <c r="B97" s="13" t="s">
        <v>234</v>
      </c>
      <c r="C97" s="28">
        <f ca="1">IFERROR(
   COUNTIF(INDIRECT("'" &amp; LOOKUP("zzz",$A$7:A97) &amp; "'!C:C"), B97),
   0
)</f>
        <v>0</v>
      </c>
      <c r="D97" s="41" cm="1">
        <f t="array" aca="1" ref="D97" ca="1">IFERROR(
  COUNTIFS(
    INDIRECT("'" &amp; LOOKUP(2,1/($A$7:A97&lt;&gt;""),$A$7:A97) &amp; "'!C:C"), $B97,
    INDIRECT("'" &amp; LOOKUP(2,1/($A$7:A97&lt;&gt;""),$A$7:A97) &amp; "'!E:E"), "&gt;=" &amp; ($B$3-6),
    INDIRECT("'" &amp; LOOKUP(2,1/($A$7:A97&lt;&gt;""),$A$7:A97) &amp; "'!E:E"), "&lt;=" &amp; $B$3
  ),
0)</f>
        <v>0</v>
      </c>
    </row>
    <row r="98" spans="1:4" ht="50" customHeight="1" x14ac:dyDescent="0.2">
      <c r="A98" s="28"/>
      <c r="B98" s="32" t="s">
        <v>235</v>
      </c>
      <c r="C98" s="28">
        <f ca="1">IFERROR(
   COUNTIF(INDIRECT("'" &amp; LOOKUP("zzz",$A$7:A98) &amp; "'!C:C"), B98),
   0
)</f>
        <v>0</v>
      </c>
      <c r="D98" s="41" cm="1">
        <f t="array" aca="1" ref="D98" ca="1">IFERROR(
  COUNTIFS(
    INDIRECT("'" &amp; LOOKUP(2,1/($A$7:A98&lt;&gt;""),$A$7:A98) &amp; "'!C:C"), $B98,
    INDIRECT("'" &amp; LOOKUP(2,1/($A$7:A98&lt;&gt;""),$A$7:A98) &amp; "'!E:E"), "&gt;=" &amp; ($B$3-6),
    INDIRECT("'" &amp; LOOKUP(2,1/($A$7:A98&lt;&gt;""),$A$7:A98) &amp; "'!E:E"), "&lt;=" &amp; $B$3
  ),
0)</f>
        <v>0</v>
      </c>
    </row>
    <row r="99" spans="1:4" ht="50" customHeight="1" x14ac:dyDescent="0.2">
      <c r="A99" s="28"/>
      <c r="B99" s="32" t="s">
        <v>236</v>
      </c>
      <c r="C99" s="28">
        <f ca="1">IFERROR(
   COUNTIF(INDIRECT("'" &amp; LOOKUP("zzz",$A$7:A99) &amp; "'!C:C"), B99),
   0
)</f>
        <v>0</v>
      </c>
      <c r="D99" s="41" cm="1">
        <f t="array" aca="1" ref="D99" ca="1">IFERROR(
  COUNTIFS(
    INDIRECT("'" &amp; LOOKUP(2,1/($A$7:A99&lt;&gt;""),$A$7:A99) &amp; "'!C:C"), $B99,
    INDIRECT("'" &amp; LOOKUP(2,1/($A$7:A99&lt;&gt;""),$A$7:A99) &amp; "'!E:E"), "&gt;=" &amp; ($B$3-6),
    INDIRECT("'" &amp; LOOKUP(2,1/($A$7:A99&lt;&gt;""),$A$7:A99) &amp; "'!E:E"), "&lt;=" &amp; $B$3
  ),
0)</f>
        <v>0</v>
      </c>
    </row>
    <row r="100" spans="1:4" ht="50" customHeight="1" x14ac:dyDescent="0.2">
      <c r="A100" s="28"/>
      <c r="B100" s="32" t="s">
        <v>237</v>
      </c>
      <c r="C100" s="28">
        <f ca="1">IFERROR(
   COUNTIF(INDIRECT("'" &amp; LOOKUP("zzz",$A$7:A100) &amp; "'!C:C"), B100),
   0
)</f>
        <v>0</v>
      </c>
      <c r="D100" s="41" cm="1">
        <f t="array" aca="1" ref="D100" ca="1">IFERROR(
  COUNTIFS(
    INDIRECT("'" &amp; LOOKUP(2,1/($A$7:A100&lt;&gt;""),$A$7:A100) &amp; "'!C:C"), $B100,
    INDIRECT("'" &amp; LOOKUP(2,1/($A$7:A100&lt;&gt;""),$A$7:A100) &amp; "'!E:E"), "&gt;=" &amp; ($B$3-6),
    INDIRECT("'" &amp; LOOKUP(2,1/($A$7:A100&lt;&gt;""),$A$7:A100) &amp; "'!E:E"), "&lt;=" &amp; $B$3
  ),
0)</f>
        <v>0</v>
      </c>
    </row>
    <row r="101" spans="1:4" ht="50" customHeight="1" x14ac:dyDescent="0.2">
      <c r="A101" s="28"/>
      <c r="B101" s="32" t="s">
        <v>238</v>
      </c>
      <c r="C101" s="28">
        <f ca="1">IFERROR(
   COUNTIF(INDIRECT("'" &amp; LOOKUP("zzz",$A$7:A101) &amp; "'!C:C"), B101),
   0
)</f>
        <v>0</v>
      </c>
      <c r="D101" s="41" cm="1">
        <f t="array" aca="1" ref="D101" ca="1">IFERROR(
  COUNTIFS(
    INDIRECT("'" &amp; LOOKUP(2,1/($A$7:A101&lt;&gt;""),$A$7:A101) &amp; "'!C:C"), $B101,
    INDIRECT("'" &amp; LOOKUP(2,1/($A$7:A101&lt;&gt;""),$A$7:A101) &amp; "'!E:E"), "&gt;=" &amp; ($B$3-6),
    INDIRECT("'" &amp; LOOKUP(2,1/($A$7:A101&lt;&gt;""),$A$7:A101) &amp; "'!E:E"), "&lt;=" &amp; $B$3
  ),
0)</f>
        <v>0</v>
      </c>
    </row>
    <row r="102" spans="1:4" ht="50" customHeight="1" x14ac:dyDescent="0.2">
      <c r="A102" s="28"/>
      <c r="B102" s="32" t="s">
        <v>239</v>
      </c>
      <c r="C102" s="28">
        <f ca="1">IFERROR(
   COUNTIF(INDIRECT("'" &amp; LOOKUP("zzz",$A$7:A102) &amp; "'!C:C"), B102),
   0
)</f>
        <v>0</v>
      </c>
      <c r="D102" s="41" cm="1">
        <f t="array" aca="1" ref="D102" ca="1">IFERROR(
  COUNTIFS(
    INDIRECT("'" &amp; LOOKUP(2,1/($A$7:A102&lt;&gt;""),$A$7:A102) &amp; "'!C:C"), $B102,
    INDIRECT("'" &amp; LOOKUP(2,1/($A$7:A102&lt;&gt;""),$A$7:A102) &amp; "'!E:E"), "&gt;=" &amp; ($B$3-6),
    INDIRECT("'" &amp; LOOKUP(2,1/($A$7:A102&lt;&gt;""),$A$7:A102) &amp; "'!E:E"), "&lt;=" &amp; $B$3
  ),
0)</f>
        <v>0</v>
      </c>
    </row>
    <row r="103" spans="1:4" ht="50" customHeight="1" x14ac:dyDescent="0.2">
      <c r="A103" s="28"/>
      <c r="B103" s="32" t="s">
        <v>240</v>
      </c>
      <c r="C103" s="28">
        <f ca="1">IFERROR(
   COUNTIF(INDIRECT("'" &amp; LOOKUP("zzz",$A$7:A103) &amp; "'!C:C"), B103),
   0
)</f>
        <v>0</v>
      </c>
      <c r="D103" s="41" cm="1">
        <f t="array" aca="1" ref="D103" ca="1">IFERROR(
  COUNTIFS(
    INDIRECT("'" &amp; LOOKUP(2,1/($A$7:A103&lt;&gt;""),$A$7:A103) &amp; "'!C:C"), $B103,
    INDIRECT("'" &amp; LOOKUP(2,1/($A$7:A103&lt;&gt;""),$A$7:A103) &amp; "'!E:E"), "&gt;=" &amp; ($B$3-6),
    INDIRECT("'" &amp; LOOKUP(2,1/($A$7:A103&lt;&gt;""),$A$7:A103) &amp; "'!E:E"), "&lt;=" &amp; $B$3
  ),
0)</f>
        <v>0</v>
      </c>
    </row>
    <row r="104" spans="1:4" ht="50" customHeight="1" x14ac:dyDescent="0.2">
      <c r="A104" s="52"/>
      <c r="B104" s="55" t="s">
        <v>363</v>
      </c>
      <c r="C104" s="52">
        <f ca="1">IFERROR(
   COUNTIF(INDIRECT("'" &amp; LOOKUP("zzz",$A$7:A104) &amp; "'!C:C"), B104),
   0
)</f>
        <v>0</v>
      </c>
      <c r="D104" s="41" cm="1">
        <f t="array" aca="1" ref="D104" ca="1">IFERROR(
  COUNTIFS(
    INDIRECT("'" &amp; LOOKUP(2,1/($A$7:A104&lt;&gt;""),$A$7:A104) &amp; "'!C:C"), $B104,
    INDIRECT("'" &amp; LOOKUP(2,1/($A$7:A104&lt;&gt;""),$A$7:A104) &amp; "'!E:E"), "&gt;=" &amp; ($B$3-6),
    INDIRECT("'" &amp; LOOKUP(2,1/($A$7:A104&lt;&gt;""),$A$7:A104) &amp; "'!E:E"), "&lt;=" &amp; $B$3
  ),
0)</f>
        <v>0</v>
      </c>
    </row>
    <row r="105" spans="1:4" ht="50" customHeight="1" x14ac:dyDescent="0.2">
      <c r="A105" s="30" t="s">
        <v>29</v>
      </c>
      <c r="B105" s="35" t="s">
        <v>70</v>
      </c>
      <c r="C105" s="30">
        <f ca="1">IFERROR(
   COUNTIF(INDIRECT("'" &amp; LOOKUP("zzz",$A$7:A105) &amp; "'!C:C"), B105),
   0
)</f>
        <v>0</v>
      </c>
      <c r="D105" s="71" cm="1">
        <f t="array" aca="1" ref="D105" ca="1">IFERROR(
  COUNTIFS(
    INDIRECT("'" &amp; LOOKUP(2,1/($A$7:A105&lt;&gt;""),$A$7:A105) &amp; "'!C:C"), $B105,
    INDIRECT("'" &amp; LOOKUP(2,1/($A$7:A105&lt;&gt;""),$A$7:A105) &amp; "'!E:E"), "&gt;=" &amp; ($B$3-6),
    INDIRECT("'" &amp; LOOKUP(2,1/($A$7:A105&lt;&gt;""),$A$7:A105) &amp; "'!E:E"), "&lt;=" &amp; $B$3
  ),
0)</f>
        <v>0</v>
      </c>
    </row>
    <row r="106" spans="1:4" ht="50" customHeight="1" x14ac:dyDescent="0.2">
      <c r="A106" s="30"/>
      <c r="B106" s="35" t="s">
        <v>107</v>
      </c>
      <c r="C106" s="30">
        <f ca="1">IFERROR(
   COUNTIF(INDIRECT("'" &amp; LOOKUP("zzz",$A$7:A106) &amp; "'!C:C"), B106),
   0
)</f>
        <v>0</v>
      </c>
      <c r="D106" s="42" cm="1">
        <f t="array" aca="1" ref="D106" ca="1">IFERROR(
  COUNTIFS(
    INDIRECT("'" &amp; LOOKUP(2,1/($A$7:A106&lt;&gt;""),$A$7:A106) &amp; "'!C:C"), $B106,
    INDIRECT("'" &amp; LOOKUP(2,1/($A$7:A106&lt;&gt;""),$A$7:A106) &amp; "'!E:E"), "&gt;=" &amp; ($B$3-6),
    INDIRECT("'" &amp; LOOKUP(2,1/($A$7:A106&lt;&gt;""),$A$7:A106) &amp; "'!E:E"), "&lt;=" &amp; $B$3
  ),
0)</f>
        <v>0</v>
      </c>
    </row>
    <row r="107" spans="1:4" ht="50" customHeight="1" x14ac:dyDescent="0.2">
      <c r="A107" s="29"/>
      <c r="B107" s="33" t="s">
        <v>121</v>
      </c>
      <c r="C107" s="28">
        <f ca="1">IFERROR(
   COUNTIF(INDIRECT("'" &amp; LOOKUP("zzz",$A$7:A107) &amp; "'!C:C"), B107),
   0
)</f>
        <v>0</v>
      </c>
      <c r="D107" s="41" cm="1">
        <f t="array" aca="1" ref="D107" ca="1">IFERROR(
  COUNTIFS(
    INDIRECT("'" &amp; LOOKUP(2,1/($A$7:A107&lt;&gt;""),$A$7:A107) &amp; "'!C:C"), $B107,
    INDIRECT("'" &amp; LOOKUP(2,1/($A$7:A107&lt;&gt;""),$A$7:A107) &amp; "'!E:E"), "&gt;=" &amp; ($B$3-6),
    INDIRECT("'" &amp; LOOKUP(2,1/($A$7:A107&lt;&gt;""),$A$7:A107) &amp; "'!E:E"), "&lt;=" &amp; $B$3
  ),
0)</f>
        <v>0</v>
      </c>
    </row>
    <row r="108" spans="1:4" ht="50" customHeight="1" x14ac:dyDescent="0.2">
      <c r="A108" s="29"/>
      <c r="B108" s="33" t="s">
        <v>131</v>
      </c>
      <c r="C108" s="28">
        <f ca="1">IFERROR(
   COUNTIF(INDIRECT("'" &amp; LOOKUP("zzz",$A$7:A108) &amp; "'!C:C"), B108),
   0
)</f>
        <v>0</v>
      </c>
      <c r="D108" s="41" cm="1">
        <f t="array" aca="1" ref="D108" ca="1">IFERROR(
  COUNTIFS(
    INDIRECT("'" &amp; LOOKUP(2,1/($A$7:A108&lt;&gt;""),$A$7:A108) &amp; "'!C:C"), $B108,
    INDIRECT("'" &amp; LOOKUP(2,1/($A$7:A108&lt;&gt;""),$A$7:A108) &amp; "'!E:E"), "&gt;=" &amp; ($B$3-6),
    INDIRECT("'" &amp; LOOKUP(2,1/($A$7:A108&lt;&gt;""),$A$7:A108) &amp; "'!E:E"), "&lt;=" &amp; $B$3
  ),
0)</f>
        <v>0</v>
      </c>
    </row>
    <row r="109" spans="1:4" ht="50" customHeight="1" x14ac:dyDescent="0.2">
      <c r="A109" s="29"/>
      <c r="B109" s="33" t="s">
        <v>89</v>
      </c>
      <c r="C109" s="28">
        <f ca="1">IFERROR(
   COUNTIF(INDIRECT("'" &amp; LOOKUP("zzz",$A$7:A109) &amp; "'!C:C"), B109),
   0
)</f>
        <v>0</v>
      </c>
      <c r="D109" s="41" cm="1">
        <f t="array" aca="1" ref="D109" ca="1">IFERROR(
  COUNTIFS(
    INDIRECT("'" &amp; LOOKUP(2,1/($A$7:A109&lt;&gt;""),$A$7:A109) &amp; "'!C:C"), $B109,
    INDIRECT("'" &amp; LOOKUP(2,1/($A$7:A109&lt;&gt;""),$A$7:A109) &amp; "'!E:E"), "&gt;=" &amp; ($B$3-6),
    INDIRECT("'" &amp; LOOKUP(2,1/($A$7:A109&lt;&gt;""),$A$7:A109) &amp; "'!E:E"), "&lt;=" &amp; $B$3
  ),
0)</f>
        <v>0</v>
      </c>
    </row>
    <row r="110" spans="1:4" ht="50" customHeight="1" x14ac:dyDescent="0.2">
      <c r="A110" s="29"/>
      <c r="B110" s="33" t="s">
        <v>50</v>
      </c>
      <c r="C110" s="28">
        <f ca="1">IFERROR(
   COUNTIF(INDIRECT("'" &amp; LOOKUP("zzz",$A$7:A110) &amp; "'!C:C"), B110),
   0
)</f>
        <v>0</v>
      </c>
      <c r="D110" s="41" cm="1">
        <f t="array" aca="1" ref="D110" ca="1">IFERROR(
  COUNTIFS(
    INDIRECT("'" &amp; LOOKUP(2,1/($A$7:A110&lt;&gt;""),$A$7:A110) &amp; "'!C:C"), $B110,
    INDIRECT("'" &amp; LOOKUP(2,1/($A$7:A110&lt;&gt;""),$A$7:A110) &amp; "'!E:E"), "&gt;=" &amp; ($B$3-6),
    INDIRECT("'" &amp; LOOKUP(2,1/($A$7:A110&lt;&gt;""),$A$7:A110) &amp; "'!E:E"), "&lt;=" &amp; $B$3
  ),
0)</f>
        <v>0</v>
      </c>
    </row>
    <row r="111" spans="1:4" ht="50" customHeight="1" x14ac:dyDescent="0.2">
      <c r="A111" s="29"/>
      <c r="B111" s="33" t="s">
        <v>323</v>
      </c>
      <c r="C111" s="28">
        <f ca="1">IFERROR(
   COUNTIF(INDIRECT("'" &amp; LOOKUP("zzz",$A$7:A111) &amp; "'!C:C"), B111),
   0
)</f>
        <v>0</v>
      </c>
      <c r="D111" s="41" cm="1">
        <f t="array" aca="1" ref="D111" ca="1">IFERROR(
  COUNTIFS(
    INDIRECT("'" &amp; LOOKUP(2,1/($A$7:A111&lt;&gt;""),$A$7:A111) &amp; "'!C:C"), $B111,
    INDIRECT("'" &amp; LOOKUP(2,1/($A$7:A111&lt;&gt;""),$A$7:A111) &amp; "'!E:E"), "&gt;=" &amp; ($B$3-6),
    INDIRECT("'" &amp; LOOKUP(2,1/($A$7:A111&lt;&gt;""),$A$7:A111) &amp; "'!E:E"), "&lt;=" &amp; $B$3
  ),
0)</f>
        <v>0</v>
      </c>
    </row>
    <row r="112" spans="1:4" ht="50" customHeight="1" x14ac:dyDescent="0.2">
      <c r="A112" s="29"/>
      <c r="B112" s="33" t="s">
        <v>313</v>
      </c>
      <c r="C112" s="28">
        <f ca="1">IFERROR(
   COUNTIF(INDIRECT("'" &amp; LOOKUP("zzz",$A$7:A112) &amp; "'!C:C"), B112),
   0
)</f>
        <v>0</v>
      </c>
      <c r="D112" s="41" cm="1">
        <f t="array" aca="1" ref="D112" ca="1">IFERROR(
  COUNTIFS(
    INDIRECT("'" &amp; LOOKUP(2,1/($A$7:A112&lt;&gt;""),$A$7:A112) &amp; "'!C:C"), $B112,
    INDIRECT("'" &amp; LOOKUP(2,1/($A$7:A112&lt;&gt;""),$A$7:A112) &amp; "'!E:E"), "&gt;=" &amp; ($B$3-6),
    INDIRECT("'" &amp; LOOKUP(2,1/($A$7:A112&lt;&gt;""),$A$7:A112) &amp; "'!E:E"), "&lt;=" &amp; $B$3
  ),
0)</f>
        <v>0</v>
      </c>
    </row>
    <row r="113" spans="1:4" ht="50" customHeight="1" x14ac:dyDescent="0.2">
      <c r="A113" s="29"/>
      <c r="B113" s="33" t="s">
        <v>170</v>
      </c>
      <c r="C113" s="28">
        <f ca="1">IFERROR(
   COUNTIF(INDIRECT("'" &amp; LOOKUP("zzz",$A$7:A113) &amp; "'!C:C"), B113),
   0
)</f>
        <v>0</v>
      </c>
      <c r="D113" s="41" cm="1">
        <f t="array" aca="1" ref="D113" ca="1">IFERROR(
  COUNTIFS(
    INDIRECT("'" &amp; LOOKUP(2,1/($A$7:A113&lt;&gt;""),$A$7:A113) &amp; "'!C:C"), $B113,
    INDIRECT("'" &amp; LOOKUP(2,1/($A$7:A113&lt;&gt;""),$A$7:A113) &amp; "'!E:E"), "&gt;=" &amp; ($B$3-6),
    INDIRECT("'" &amp; LOOKUP(2,1/($A$7:A113&lt;&gt;""),$A$7:A113) &amp; "'!E:E"), "&lt;=" &amp; $B$3
  ),
0)</f>
        <v>0</v>
      </c>
    </row>
    <row r="114" spans="1:4" ht="50" customHeight="1" x14ac:dyDescent="0.2">
      <c r="A114" s="40"/>
      <c r="B114" s="38" t="s">
        <v>324</v>
      </c>
      <c r="C114" s="37">
        <f ca="1">IFERROR(
   COUNTIF(INDIRECT("'" &amp; LOOKUP("zzz",$A$7:A114) &amp; "'!C:C"), B114),
   0
)</f>
        <v>0</v>
      </c>
      <c r="D114" s="72" cm="1">
        <f t="array" aca="1" ref="D114" ca="1">IFERROR(
  COUNTIFS(
    INDIRECT("'" &amp; LOOKUP(2,1/($A$7:A114&lt;&gt;""),$A$7:A114) &amp; "'!C:C"), $B114,
    INDIRECT("'" &amp; LOOKUP(2,1/($A$7:A114&lt;&gt;""),$A$7:A114) &amp; "'!E:E"), "&gt;=" &amp; ($B$3-6),
    INDIRECT("'" &amp; LOOKUP(2,1/($A$7:A114&lt;&gt;""),$A$7:A114) &amp; "'!E:E"), "&lt;=" &amp; $B$3
  ),
0)</f>
        <v>0</v>
      </c>
    </row>
    <row r="115" spans="1:4" ht="50" customHeight="1" x14ac:dyDescent="0.2">
      <c r="A115" s="39" t="s">
        <v>30</v>
      </c>
      <c r="B115" s="35" t="s">
        <v>51</v>
      </c>
      <c r="C115" s="30">
        <f ca="1">IFERROR(
   COUNTIF(INDIRECT("'" &amp; LOOKUP("zzz",$A$7:A115) &amp; "'!C:C"), B115),
   0
)</f>
        <v>0</v>
      </c>
      <c r="D115" s="71" cm="1">
        <f t="array" aca="1" ref="D115" ca="1">IFERROR(
  COUNTIFS(
    INDIRECT("'" &amp; LOOKUP(2,1/($A$7:A115&lt;&gt;""),$A$7:A115) &amp; "'!C:C"), $B115,
    INDIRECT("'" &amp; LOOKUP(2,1/($A$7:A115&lt;&gt;""),$A$7:A115) &amp; "'!E:E"), "&gt;=" &amp; ($B$3-6),
    INDIRECT("'" &amp; LOOKUP(2,1/($A$7:A115&lt;&gt;""),$A$7:A115) &amp; "'!E:E"), "&lt;=" &amp; $B$3
  ),
0)</f>
        <v>0</v>
      </c>
    </row>
    <row r="116" spans="1:4" ht="50" customHeight="1" x14ac:dyDescent="0.2">
      <c r="A116" s="29"/>
      <c r="B116" s="33" t="s">
        <v>122</v>
      </c>
      <c r="C116" s="28">
        <f ca="1">IFERROR(
   COUNTIF(INDIRECT("'" &amp; LOOKUP("zzz",$A$7:A116) &amp; "'!C:C"), B116),
   0
)</f>
        <v>0</v>
      </c>
      <c r="D116" s="41" cm="1">
        <f t="array" aca="1" ref="D116" ca="1">IFERROR(
  COUNTIFS(
    INDIRECT("'" &amp; LOOKUP(2,1/($A$7:A116&lt;&gt;""),$A$7:A116) &amp; "'!C:C"), $B116,
    INDIRECT("'" &amp; LOOKUP(2,1/($A$7:A116&lt;&gt;""),$A$7:A116) &amp; "'!E:E"), "&gt;=" &amp; ($B$3-6),
    INDIRECT("'" &amp; LOOKUP(2,1/($A$7:A116&lt;&gt;""),$A$7:A116) &amp; "'!E:E"), "&lt;=" &amp; $B$3
  ),
0)</f>
        <v>0</v>
      </c>
    </row>
    <row r="117" spans="1:4" ht="50" customHeight="1" x14ac:dyDescent="0.2">
      <c r="A117" s="29"/>
      <c r="B117" s="33" t="s">
        <v>71</v>
      </c>
      <c r="C117" s="28">
        <f ca="1">IFERROR(
   COUNTIF(INDIRECT("'" &amp; LOOKUP("zzz",$A$7:A117) &amp; "'!C:C"), B117),
   0
)</f>
        <v>0</v>
      </c>
      <c r="D117" s="41" cm="1">
        <f t="array" aca="1" ref="D117" ca="1">IFERROR(
  COUNTIFS(
    INDIRECT("'" &amp; LOOKUP(2,1/($A$7:A117&lt;&gt;""),$A$7:A117) &amp; "'!C:C"), $B117,
    INDIRECT("'" &amp; LOOKUP(2,1/($A$7:A117&lt;&gt;""),$A$7:A117) &amp; "'!E:E"), "&gt;=" &amp; ($B$3-6),
    INDIRECT("'" &amp; LOOKUP(2,1/($A$7:A117&lt;&gt;""),$A$7:A117) &amp; "'!E:E"), "&lt;=" &amp; $B$3
  ),
0)</f>
        <v>0</v>
      </c>
    </row>
    <row r="118" spans="1:4" ht="50" customHeight="1" x14ac:dyDescent="0.2">
      <c r="A118" s="29"/>
      <c r="B118" s="33" t="s">
        <v>310</v>
      </c>
      <c r="C118" s="28">
        <f ca="1">IFERROR(
   COUNTIF(INDIRECT("'" &amp; LOOKUP("zzz",$A$7:A118) &amp; "'!C:C"), B118),
   0
)</f>
        <v>0</v>
      </c>
      <c r="D118" s="41" cm="1">
        <f t="array" aca="1" ref="D118" ca="1">IFERROR(
  COUNTIFS(
    INDIRECT("'" &amp; LOOKUP(2,1/($A$7:A118&lt;&gt;""),$A$7:A118) &amp; "'!C:C"), $B118,
    INDIRECT("'" &amp; LOOKUP(2,1/($A$7:A118&lt;&gt;""),$A$7:A118) &amp; "'!E:E"), "&gt;=" &amp; ($B$3-6),
    INDIRECT("'" &amp; LOOKUP(2,1/($A$7:A118&lt;&gt;""),$A$7:A118) &amp; "'!E:E"), "&lt;=" &amp; $B$3
  ),
0)</f>
        <v>0</v>
      </c>
    </row>
    <row r="119" spans="1:4" ht="50" customHeight="1" x14ac:dyDescent="0.2">
      <c r="A119" s="29"/>
      <c r="B119" s="33" t="s">
        <v>311</v>
      </c>
      <c r="C119" s="28">
        <f ca="1">IFERROR(
   COUNTIF(INDIRECT("'" &amp; LOOKUP("zzz",$A$7:A119) &amp; "'!C:C"), B119),
   0
)</f>
        <v>0</v>
      </c>
      <c r="D119" s="41" cm="1">
        <f t="array" aca="1" ref="D119" ca="1">IFERROR(
  COUNTIFS(
    INDIRECT("'" &amp; LOOKUP(2,1/($A$7:A119&lt;&gt;""),$A$7:A119) &amp; "'!C:C"), $B119,
    INDIRECT("'" &amp; LOOKUP(2,1/($A$7:A119&lt;&gt;""),$A$7:A119) &amp; "'!E:E"), "&gt;=" &amp; ($B$3-6),
    INDIRECT("'" &amp; LOOKUP(2,1/($A$7:A119&lt;&gt;""),$A$7:A119) &amp; "'!E:E"), "&lt;=" &amp; $B$3
  ),
0)</f>
        <v>0</v>
      </c>
    </row>
    <row r="120" spans="1:4" ht="50" customHeight="1" x14ac:dyDescent="0.2">
      <c r="A120" s="29"/>
      <c r="B120" s="68" t="s">
        <v>195</v>
      </c>
      <c r="C120" s="28">
        <f ca="1">IFERROR(
   COUNTIF(INDIRECT("'" &amp; LOOKUP("zzz",$A$7:A120) &amp; "'!C:C"), B120),
   0
)</f>
        <v>0</v>
      </c>
      <c r="D120" s="41" cm="1">
        <f t="array" aca="1" ref="D120" ca="1">IFERROR(
  COUNTIFS(
    INDIRECT("'" &amp; LOOKUP(2,1/($A$7:A120&lt;&gt;""),$A$7:A120) &amp; "'!C:C"), $B120,
    INDIRECT("'" &amp; LOOKUP(2,1/($A$7:A120&lt;&gt;""),$A$7:A120) &amp; "'!E:E"), "&gt;=" &amp; ($B$3-6),
    INDIRECT("'" &amp; LOOKUP(2,1/($A$7:A120&lt;&gt;""),$A$7:A120) &amp; "'!E:E"), "&lt;=" &amp; $B$3
  ),
0)</f>
        <v>0</v>
      </c>
    </row>
    <row r="121" spans="1:4" ht="50" customHeight="1" x14ac:dyDescent="0.2">
      <c r="A121" s="29"/>
      <c r="B121" s="33" t="s">
        <v>196</v>
      </c>
      <c r="C121" s="28">
        <f ca="1">IFERROR(
   COUNTIF(INDIRECT("'" &amp; LOOKUP("zzz",$A$7:A121) &amp; "'!C:C"), B121),
   0
)</f>
        <v>0</v>
      </c>
      <c r="D121" s="41" cm="1">
        <f t="array" aca="1" ref="D121" ca="1">IFERROR(
  COUNTIFS(
    INDIRECT("'" &amp; LOOKUP(2,1/($A$7:A121&lt;&gt;""),$A$7:A121) &amp; "'!C:C"), $B121,
    INDIRECT("'" &amp; LOOKUP(2,1/($A$7:A121&lt;&gt;""),$A$7:A121) &amp; "'!E:E"), "&gt;=" &amp; ($B$3-6),
    INDIRECT("'" &amp; LOOKUP(2,1/($A$7:A121&lt;&gt;""),$A$7:A121) &amp; "'!E:E"), "&lt;=" &amp; $B$3
  ),
0)</f>
        <v>0</v>
      </c>
    </row>
    <row r="122" spans="1:4" ht="50" customHeight="1" x14ac:dyDescent="0.2">
      <c r="A122" s="54"/>
      <c r="B122" s="53" t="s">
        <v>345</v>
      </c>
      <c r="C122" s="52">
        <f ca="1">IFERROR(
   COUNTIF(INDIRECT("'" &amp; LOOKUP("zzz",$A$7:A122) &amp; "'!C:C"), B122),
   0
)</f>
        <v>0</v>
      </c>
      <c r="D122" s="85" cm="1">
        <f t="array" aca="1" ref="D122" ca="1">IFERROR(
  COUNTIFS(
    INDIRECT("'" &amp; LOOKUP(2,1/($A$7:A122&lt;&gt;""),$A$7:A122) &amp; "'!C:C"), $B122,
    INDIRECT("'" &amp; LOOKUP(2,1/($A$7:A122&lt;&gt;""),$A$7:A122) &amp; "'!E:E"), "&gt;=" &amp; ($B$3-6),
    INDIRECT("'" &amp; LOOKUP(2,1/($A$7:A122&lt;&gt;""),$A$7:A122) &amp; "'!E:E"), "&lt;=" &amp; $B$3
  ),
0)</f>
        <v>0</v>
      </c>
    </row>
    <row r="123" spans="1:4" ht="50" customHeight="1" x14ac:dyDescent="0.2">
      <c r="A123" s="45" t="s">
        <v>183</v>
      </c>
      <c r="B123" s="46" t="s">
        <v>185</v>
      </c>
      <c r="C123" s="45">
        <f ca="1">IFERROR(
   COUNTIF(INDIRECT("'" &amp; LOOKUP("zzz",$A$7:A123) &amp; "'!C:C"), B123),
   0
)</f>
        <v>0</v>
      </c>
      <c r="D123" s="42" cm="1">
        <f t="array" aca="1" ref="D123" ca="1">IFERROR(
  COUNTIFS(
    INDIRECT("'" &amp; LOOKUP(2,1/($A$7:A123&lt;&gt;""),$A$7:A123) &amp; "'!C:C"), $B123,
    INDIRECT("'" &amp; LOOKUP(2,1/($A$7:A123&lt;&gt;""),$A$7:A123) &amp; "'!E:E"), "&gt;=" &amp; ($B$3-6),
    INDIRECT("'" &amp; LOOKUP(2,1/($A$7:A123&lt;&gt;""),$A$7:A123) &amp; "'!E:E"), "&lt;=" &amp; $B$3
  ),
0)</f>
        <v>0</v>
      </c>
    </row>
    <row r="124" spans="1:4" ht="50" customHeight="1" x14ac:dyDescent="0.2">
      <c r="A124" s="29"/>
      <c r="B124" s="33" t="s">
        <v>184</v>
      </c>
      <c r="C124" s="28">
        <f ca="1">IFERROR(
   COUNTIF(INDIRECT("'" &amp; LOOKUP("zzz",$A$7:A124) &amp; "'!C:C"), B124),
   0
)</f>
        <v>0</v>
      </c>
      <c r="D124" s="41" cm="1">
        <f t="array" aca="1" ref="D124" ca="1">IFERROR(
  COUNTIFS(
    INDIRECT("'" &amp; LOOKUP(2,1/($A$7:A124&lt;&gt;""),$A$7:A124) &amp; "'!C:C"), $B124,
    INDIRECT("'" &amp; LOOKUP(2,1/($A$7:A124&lt;&gt;""),$A$7:A124) &amp; "'!E:E"), "&gt;=" &amp; ($B$3-6),
    INDIRECT("'" &amp; LOOKUP(2,1/($A$7:A124&lt;&gt;""),$A$7:A124) &amp; "'!E:E"), "&lt;=" &amp; $B$3
  ),
0)</f>
        <v>0</v>
      </c>
    </row>
    <row r="125" spans="1:4" ht="50" customHeight="1" x14ac:dyDescent="0.2">
      <c r="A125" s="29"/>
      <c r="B125" s="33" t="s">
        <v>171</v>
      </c>
      <c r="C125" s="28">
        <f ca="1">IFERROR(
   COUNTIF(INDIRECT("'" &amp; LOOKUP("zzz",$A$7:A125) &amp; "'!C:C"), B125),
   0
)</f>
        <v>0</v>
      </c>
      <c r="D125" s="41" cm="1">
        <f t="array" aca="1" ref="D125" ca="1">IFERROR(
  COUNTIFS(
    INDIRECT("'" &amp; LOOKUP(2,1/($A$7:A125&lt;&gt;""),$A$7:A125) &amp; "'!C:C"), $B125,
    INDIRECT("'" &amp; LOOKUP(2,1/($A$7:A125&lt;&gt;""),$A$7:A125) &amp; "'!E:E"), "&gt;=" &amp; ($B$3-6),
    INDIRECT("'" &amp; LOOKUP(2,1/($A$7:A125&lt;&gt;""),$A$7:A125) &amp; "'!E:E"), "&lt;=" &amp; $B$3
  ),
0)</f>
        <v>0</v>
      </c>
    </row>
    <row r="126" spans="1:4" ht="50" customHeight="1" x14ac:dyDescent="0.2">
      <c r="A126" s="29"/>
      <c r="B126" s="33" t="s">
        <v>91</v>
      </c>
      <c r="C126" s="28">
        <f ca="1">IFERROR(
   COUNTIF(INDIRECT("'" &amp; LOOKUP("zzz",$A$7:A126) &amp; "'!C:C"), B126),
   0
)</f>
        <v>0</v>
      </c>
      <c r="D126" s="41" cm="1">
        <f t="array" aca="1" ref="D126" ca="1">IFERROR(
  COUNTIFS(
    INDIRECT("'" &amp; LOOKUP(2,1/($A$7:A126&lt;&gt;""),$A$7:A126) &amp; "'!C:C"), $B126,
    INDIRECT("'" &amp; LOOKUP(2,1/($A$7:A126&lt;&gt;""),$A$7:A126) &amp; "'!E:E"), "&gt;=" &amp; ($B$3-6),
    INDIRECT("'" &amp; LOOKUP(2,1/($A$7:A126&lt;&gt;""),$A$7:A126) &amp; "'!E:E"), "&lt;=" &amp; $B$3
  ),
0)</f>
        <v>0</v>
      </c>
    </row>
    <row r="127" spans="1:4" ht="50" customHeight="1" x14ac:dyDescent="0.2">
      <c r="A127" s="29"/>
      <c r="B127" s="33" t="s">
        <v>327</v>
      </c>
      <c r="C127" s="28">
        <f ca="1">IFERROR(
   COUNTIF(INDIRECT("'" &amp; LOOKUP("zzz",$A$7:A127) &amp; "'!C:C"), B127),
   0
)</f>
        <v>0</v>
      </c>
      <c r="D127" s="41" cm="1">
        <f t="array" aca="1" ref="D127" ca="1">IFERROR(
  COUNTIFS(
    INDIRECT("'" &amp; LOOKUP(2,1/($A$7:A127&lt;&gt;""),$A$7:A127) &amp; "'!C:C"), $B127,
    INDIRECT("'" &amp; LOOKUP(2,1/($A$7:A127&lt;&gt;""),$A$7:A127) &amp; "'!E:E"), "&gt;=" &amp; ($B$3-6),
    INDIRECT("'" &amp; LOOKUP(2,1/($A$7:A127&lt;&gt;""),$A$7:A127) &amp; "'!E:E"), "&lt;=" &amp; $B$3
  ),
0)</f>
        <v>0</v>
      </c>
    </row>
    <row r="128" spans="1:4" ht="50" customHeight="1" x14ac:dyDescent="0.2">
      <c r="A128" s="29"/>
      <c r="B128" s="33" t="s">
        <v>328</v>
      </c>
      <c r="C128" s="28">
        <f ca="1">IFERROR(
   COUNTIF(INDIRECT("'" &amp; LOOKUP("zzz",$A$7:A128) &amp; "'!C:C"), B128),
   0
)</f>
        <v>0</v>
      </c>
      <c r="D128" s="41" cm="1">
        <f t="array" aca="1" ref="D128" ca="1">IFERROR(
  COUNTIFS(
    INDIRECT("'" &amp; LOOKUP(2,1/($A$7:A128&lt;&gt;""),$A$7:A128) &amp; "'!C:C"), $B128,
    INDIRECT("'" &amp; LOOKUP(2,1/($A$7:A128&lt;&gt;""),$A$7:A128) &amp; "'!E:E"), "&gt;=" &amp; ($B$3-6),
    INDIRECT("'" &amp; LOOKUP(2,1/($A$7:A128&lt;&gt;""),$A$7:A128) &amp; "'!E:E"), "&lt;=" &amp; $B$3
  ),
0)</f>
        <v>0</v>
      </c>
    </row>
    <row r="129" spans="1:4" ht="50" customHeight="1" x14ac:dyDescent="0.2">
      <c r="A129" s="28"/>
      <c r="B129" s="32" t="s">
        <v>325</v>
      </c>
      <c r="C129" s="28">
        <f ca="1">IFERROR(
   COUNTIF(INDIRECT("'" &amp; LOOKUP("zzz",$A$7:A129) &amp; "'!C:C"), B129),
   0
)</f>
        <v>0</v>
      </c>
      <c r="D129" s="41" cm="1">
        <f t="array" aca="1" ref="D129" ca="1">IFERROR(
  COUNTIFS(
    INDIRECT("'" &amp; LOOKUP(2,1/($A$7:A129&lt;&gt;""),$A$7:A129) &amp; "'!C:C"), $B129,
    INDIRECT("'" &amp; LOOKUP(2,1/($A$7:A129&lt;&gt;""),$A$7:A129) &amp; "'!E:E"), "&gt;=" &amp; ($B$3-6),
    INDIRECT("'" &amp; LOOKUP(2,1/($A$7:A129&lt;&gt;""),$A$7:A129) &amp; "'!E:E"), "&lt;=" &amp; $B$3
  ),
0)</f>
        <v>0</v>
      </c>
    </row>
    <row r="130" spans="1:4" ht="50" customHeight="1" x14ac:dyDescent="0.2">
      <c r="A130" s="29"/>
      <c r="B130" s="33" t="s">
        <v>326</v>
      </c>
      <c r="C130" s="28">
        <f ca="1">IFERROR(
   COUNTIF(INDIRECT("'" &amp; LOOKUP("zzz",$A$7:A130) &amp; "'!C:C"), B130),
   0
)</f>
        <v>0</v>
      </c>
      <c r="D130" s="41" cm="1">
        <f t="array" aca="1" ref="D130" ca="1">IFERROR(
  COUNTIFS(
    INDIRECT("'" &amp; LOOKUP(2,1/($A$7:A130&lt;&gt;""),$A$7:A130) &amp; "'!C:C"), $B130,
    INDIRECT("'" &amp; LOOKUP(2,1/($A$7:A130&lt;&gt;""),$A$7:A130) &amp; "'!E:E"), "&gt;=" &amp; ($B$3-6),
    INDIRECT("'" &amp; LOOKUP(2,1/($A$7:A130&lt;&gt;""),$A$7:A130) &amp; "'!E:E"), "&lt;=" &amp; $B$3
  ),
0)</f>
        <v>0</v>
      </c>
    </row>
    <row r="131" spans="1:4" ht="50" customHeight="1" x14ac:dyDescent="0.2">
      <c r="A131" s="45"/>
      <c r="B131" s="49" t="s">
        <v>348</v>
      </c>
      <c r="C131" s="50">
        <f ca="1">IFERROR(
   COUNTIF(INDIRECT("'" &amp; LOOKUP("zzz",$A$7:A131) &amp; "'!C:C"), B131),
   0
)</f>
        <v>0</v>
      </c>
      <c r="D131" s="72" cm="1">
        <f t="array" aca="1" ref="D131" ca="1">IFERROR(
  COUNTIFS(
    INDIRECT("'" &amp; LOOKUP(2,1/($A$7:A131&lt;&gt;""),$A$7:A131) &amp; "'!C:C"), $B131,
    INDIRECT("'" &amp; LOOKUP(2,1/($A$7:A131&lt;&gt;""),$A$7:A131) &amp; "'!E:E"), "&gt;=" &amp; ($B$3-6),
    INDIRECT("'" &amp; LOOKUP(2,1/($A$7:A131&lt;&gt;""),$A$7:A131) &amp; "'!E:E"), "&lt;=" &amp; $B$3
  ),
0)</f>
        <v>0</v>
      </c>
    </row>
    <row r="132" spans="1:4" ht="50" customHeight="1" x14ac:dyDescent="0.2">
      <c r="A132" s="59" t="s">
        <v>31</v>
      </c>
      <c r="B132" s="48" t="s">
        <v>72</v>
      </c>
      <c r="C132" s="47">
        <f ca="1">IFERROR(
   COUNTIF(INDIRECT("'" &amp; LOOKUP("zzz",$A$7:A132) &amp; "'!C:C"), B132),
   0
)</f>
        <v>0</v>
      </c>
      <c r="D132" s="71" cm="1">
        <f t="array" aca="1" ref="D132" ca="1">IFERROR(
  COUNTIFS(
    INDIRECT("'" &amp; LOOKUP(2,1/($A$7:A132&lt;&gt;""),$A$7:A132) &amp; "'!C:C"), $B132,
    INDIRECT("'" &amp; LOOKUP(2,1/($A$7:A132&lt;&gt;""),$A$7:A132) &amp; "'!E:E"), "&gt;=" &amp; ($B$3-6),
    INDIRECT("'" &amp; LOOKUP(2,1/($A$7:A132&lt;&gt;""),$A$7:A132) &amp; "'!E:E"), "&lt;=" &amp; $B$3
  ),
0)</f>
        <v>0</v>
      </c>
    </row>
    <row r="133" spans="1:4" ht="50" customHeight="1" x14ac:dyDescent="0.2">
      <c r="A133" s="29"/>
      <c r="B133" s="33" t="s">
        <v>109</v>
      </c>
      <c r="C133" s="28">
        <f ca="1">IFERROR(
   COUNTIF(INDIRECT("'" &amp; LOOKUP("zzz",$A$7:A133) &amp; "'!C:C"), B133),
   0
)</f>
        <v>0</v>
      </c>
      <c r="D133" s="41" cm="1">
        <f t="array" aca="1" ref="D133" ca="1">IFERROR(
  COUNTIFS(
    INDIRECT("'" &amp; LOOKUP(2,1/($A$7:A133&lt;&gt;""),$A$7:A133) &amp; "'!C:C"), $B133,
    INDIRECT("'" &amp; LOOKUP(2,1/($A$7:A133&lt;&gt;""),$A$7:A133) &amp; "'!E:E"), "&gt;=" &amp; ($B$3-6),
    INDIRECT("'" &amp; LOOKUP(2,1/($A$7:A133&lt;&gt;""),$A$7:A133) &amp; "'!E:E"), "&lt;=" &amp; $B$3
  ),
0)</f>
        <v>0</v>
      </c>
    </row>
    <row r="134" spans="1:4" ht="50" customHeight="1" x14ac:dyDescent="0.2">
      <c r="A134" s="29"/>
      <c r="B134" s="33" t="s">
        <v>52</v>
      </c>
      <c r="C134" s="28">
        <f ca="1">IFERROR(
   COUNTIF(INDIRECT("'" &amp; LOOKUP("zzz",$A$7:A134) &amp; "'!C:C"), B134),
   0
)</f>
        <v>0</v>
      </c>
      <c r="D134" s="41" cm="1">
        <f t="array" aca="1" ref="D134" ca="1">IFERROR(
  COUNTIFS(
    INDIRECT("'" &amp; LOOKUP(2,1/($A$7:A134&lt;&gt;""),$A$7:A134) &amp; "'!C:C"), $B134,
    INDIRECT("'" &amp; LOOKUP(2,1/($A$7:A134&lt;&gt;""),$A$7:A134) &amp; "'!E:E"), "&gt;=" &amp; ($B$3-6),
    INDIRECT("'" &amp; LOOKUP(2,1/($A$7:A134&lt;&gt;""),$A$7:A134) &amp; "'!E:E"), "&lt;=" &amp; $B$3
  ),
0)</f>
        <v>0</v>
      </c>
    </row>
    <row r="135" spans="1:4" ht="50" customHeight="1" x14ac:dyDescent="0.2">
      <c r="A135" s="29"/>
      <c r="B135" s="33" t="s">
        <v>123</v>
      </c>
      <c r="C135" s="28">
        <f ca="1">IFERROR(
   COUNTIF(INDIRECT("'" &amp; LOOKUP("zzz",$A$7:A135) &amp; "'!C:C"), B135),
   0
)</f>
        <v>0</v>
      </c>
      <c r="D135" s="41" cm="1">
        <f t="array" aca="1" ref="D135" ca="1">IFERROR(
  COUNTIFS(
    INDIRECT("'" &amp; LOOKUP(2,1/($A$7:A135&lt;&gt;""),$A$7:A135) &amp; "'!C:C"), $B135,
    INDIRECT("'" &amp; LOOKUP(2,1/($A$7:A135&lt;&gt;""),$A$7:A135) &amp; "'!E:E"), "&gt;=" &amp; ($B$3-6),
    INDIRECT("'" &amp; LOOKUP(2,1/($A$7:A135&lt;&gt;""),$A$7:A135) &amp; "'!E:E"), "&lt;=" &amp; $B$3
  ),
0)</f>
        <v>0</v>
      </c>
    </row>
    <row r="136" spans="1:4" ht="50" customHeight="1" x14ac:dyDescent="0.2">
      <c r="A136" s="28"/>
      <c r="B136" s="33" t="s">
        <v>198</v>
      </c>
      <c r="C136" s="28">
        <f ca="1">IFERROR(
   COUNTIF(INDIRECT("'" &amp; LOOKUP("zzz",$A$7:A136) &amp; "'!C:C"), B136),
   0
)</f>
        <v>0</v>
      </c>
      <c r="D136" s="41" cm="1">
        <f t="array" aca="1" ref="D136" ca="1">IFERROR(
  COUNTIFS(
    INDIRECT("'" &amp; LOOKUP(2,1/($A$7:A136&lt;&gt;""),$A$7:A136) &amp; "'!C:C"), $B136,
    INDIRECT("'" &amp; LOOKUP(2,1/($A$7:A136&lt;&gt;""),$A$7:A136) &amp; "'!E:E"), "&gt;=" &amp; ($B$3-6),
    INDIRECT("'" &amp; LOOKUP(2,1/($A$7:A136&lt;&gt;""),$A$7:A136) &amp; "'!E:E"), "&lt;=" &amp; $B$3
  ),
0)</f>
        <v>0</v>
      </c>
    </row>
    <row r="137" spans="1:4" ht="50" customHeight="1" x14ac:dyDescent="0.2">
      <c r="A137" s="40"/>
      <c r="B137" s="38" t="s">
        <v>260</v>
      </c>
      <c r="C137" s="37">
        <f ca="1">IFERROR(
   COUNTIF(INDIRECT("'" &amp; LOOKUP("zzz",$A$7:A137) &amp; "'!C:C"), B137),
   0
)</f>
        <v>0</v>
      </c>
      <c r="D137" s="72" cm="1">
        <f t="array" aca="1" ref="D137" ca="1">IFERROR(
  COUNTIFS(
    INDIRECT("'" &amp; LOOKUP(2,1/($A$7:A137&lt;&gt;""),$A$7:A137) &amp; "'!C:C"), $B137,
    INDIRECT("'" &amp; LOOKUP(2,1/($A$7:A137&lt;&gt;""),$A$7:A137) &amp; "'!E:E"), "&gt;=" &amp; ($B$3-6),
    INDIRECT("'" &amp; LOOKUP(2,1/($A$7:A137&lt;&gt;""),$A$7:A137) &amp; "'!E:E"), "&lt;=" &amp; $B$3
  ),
0)</f>
        <v>0</v>
      </c>
    </row>
    <row r="138" spans="1:4" ht="50" customHeight="1" x14ac:dyDescent="0.2">
      <c r="A138" s="30" t="s">
        <v>32</v>
      </c>
      <c r="B138" s="35" t="s">
        <v>132</v>
      </c>
      <c r="C138" s="30">
        <f ca="1">IFERROR(
   COUNTIF(INDIRECT("'" &amp; LOOKUP("zzz",$A$7:A138) &amp; "'!C:C"), B138),
   0
)</f>
        <v>0</v>
      </c>
      <c r="D138" s="71" cm="1">
        <f t="array" aca="1" ref="D138" ca="1">IFERROR(
  COUNTIFS(
    INDIRECT("'" &amp; LOOKUP(2,1/($A$7:A138&lt;&gt;""),$A$7:A138) &amp; "'!C:C"), $B138,
    INDIRECT("'" &amp; LOOKUP(2,1/($A$7:A138&lt;&gt;""),$A$7:A138) &amp; "'!E:E"), "&gt;=" &amp; ($B$3-6),
    INDIRECT("'" &amp; LOOKUP(2,1/($A$7:A138&lt;&gt;""),$A$7:A138) &amp; "'!E:E"), "&lt;=" &amp; $B$3
  ),
0)</f>
        <v>0</v>
      </c>
    </row>
    <row r="139" spans="1:4" ht="50" customHeight="1" x14ac:dyDescent="0.2">
      <c r="A139" s="30"/>
      <c r="B139" s="35" t="s">
        <v>92</v>
      </c>
      <c r="C139" s="30">
        <f ca="1">IFERROR(
   COUNTIF(INDIRECT("'" &amp; LOOKUP("zzz",$A$7:A139) &amp; "'!C:C"), B139),
   0
)</f>
        <v>0</v>
      </c>
      <c r="D139" s="42" cm="1">
        <f t="array" aca="1" ref="D139" ca="1">IFERROR(
  COUNTIFS(
    INDIRECT("'" &amp; LOOKUP(2,1/($A$7:A139&lt;&gt;""),$A$7:A139) &amp; "'!C:C"), $B139,
    INDIRECT("'" &amp; LOOKUP(2,1/($A$7:A139&lt;&gt;""),$A$7:A139) &amp; "'!E:E"), "&gt;=" &amp; ($B$3-6),
    INDIRECT("'" &amp; LOOKUP(2,1/($A$7:A139&lt;&gt;""),$A$7:A139) &amp; "'!E:E"), "&lt;=" &amp; $B$3
  ),
0)</f>
        <v>0</v>
      </c>
    </row>
    <row r="140" spans="1:4" ht="50" customHeight="1" x14ac:dyDescent="0.2">
      <c r="A140" s="29"/>
      <c r="B140" s="33" t="s">
        <v>124</v>
      </c>
      <c r="C140" s="28">
        <f ca="1">IFERROR(
   COUNTIF(INDIRECT("'" &amp; LOOKUP("zzz",$A$7:A140) &amp; "'!C:C"), B140),
   0
)</f>
        <v>0</v>
      </c>
      <c r="D140" s="41" cm="1">
        <f t="array" aca="1" ref="D140" ca="1">IFERROR(
  COUNTIFS(
    INDIRECT("'" &amp; LOOKUP(2,1/($A$7:A140&lt;&gt;""),$A$7:A140) &amp; "'!C:C"), $B140,
    INDIRECT("'" &amp; LOOKUP(2,1/($A$7:A140&lt;&gt;""),$A$7:A140) &amp; "'!E:E"), "&gt;=" &amp; ($B$3-6),
    INDIRECT("'" &amp; LOOKUP(2,1/($A$7:A140&lt;&gt;""),$A$7:A140) &amp; "'!E:E"), "&lt;=" &amp; $B$3
  ),
0)</f>
        <v>0</v>
      </c>
    </row>
    <row r="141" spans="1:4" ht="50" customHeight="1" x14ac:dyDescent="0.2">
      <c r="A141" s="29"/>
      <c r="B141" s="33" t="s">
        <v>73</v>
      </c>
      <c r="C141" s="28">
        <f ca="1">IFERROR(
   COUNTIF(INDIRECT("'" &amp; LOOKUP("zzz",$A$7:A141) &amp; "'!C:C"), B141),
   0
)</f>
        <v>0</v>
      </c>
      <c r="D141" s="41" cm="1">
        <f t="array" aca="1" ref="D141" ca="1">IFERROR(
  COUNTIFS(
    INDIRECT("'" &amp; LOOKUP(2,1/($A$7:A141&lt;&gt;""),$A$7:A141) &amp; "'!C:C"), $B141,
    INDIRECT("'" &amp; LOOKUP(2,1/($A$7:A141&lt;&gt;""),$A$7:A141) &amp; "'!E:E"), "&gt;=" &amp; ($B$3-6),
    INDIRECT("'" &amp; LOOKUP(2,1/($A$7:A141&lt;&gt;""),$A$7:A141) &amp; "'!E:E"), "&lt;=" &amp; $B$3
  ),
0)</f>
        <v>0</v>
      </c>
    </row>
    <row r="142" spans="1:4" ht="50" customHeight="1" x14ac:dyDescent="0.2">
      <c r="A142" s="29"/>
      <c r="B142" s="33" t="s">
        <v>110</v>
      </c>
      <c r="C142" s="28">
        <f ca="1">IFERROR(
   COUNTIF(INDIRECT("'" &amp; LOOKUP("zzz",$A$7:A142) &amp; "'!C:C"), B142),
   0
)</f>
        <v>0</v>
      </c>
      <c r="D142" s="41" cm="1">
        <f t="array" aca="1" ref="D142" ca="1">IFERROR(
  COUNTIFS(
    INDIRECT("'" &amp; LOOKUP(2,1/($A$7:A142&lt;&gt;""),$A$7:A142) &amp; "'!C:C"), $B142,
    INDIRECT("'" &amp; LOOKUP(2,1/($A$7:A142&lt;&gt;""),$A$7:A142) &amp; "'!E:E"), "&gt;=" &amp; ($B$3-6),
    INDIRECT("'" &amp; LOOKUP(2,1/($A$7:A142&lt;&gt;""),$A$7:A142) &amp; "'!E:E"), "&lt;=" &amp; $B$3
  ),
0)</f>
        <v>0</v>
      </c>
    </row>
    <row r="143" spans="1:4" ht="50" customHeight="1" x14ac:dyDescent="0.2">
      <c r="A143" s="29"/>
      <c r="B143" s="33" t="s">
        <v>53</v>
      </c>
      <c r="C143" s="28">
        <f ca="1">IFERROR(
   COUNTIF(INDIRECT("'" &amp; LOOKUP("zzz",$A$7:A143) &amp; "'!C:C"), B143),
   0
)</f>
        <v>0</v>
      </c>
      <c r="D143" s="41" cm="1">
        <f t="array" aca="1" ref="D143" ca="1">IFERROR(
  COUNTIFS(
    INDIRECT("'" &amp; LOOKUP(2,1/($A$7:A143&lt;&gt;""),$A$7:A143) &amp; "'!C:C"), $B143,
    INDIRECT("'" &amp; LOOKUP(2,1/($A$7:A143&lt;&gt;""),$A$7:A143) &amp; "'!E:E"), "&gt;=" &amp; ($B$3-6),
    INDIRECT("'" &amp; LOOKUP(2,1/($A$7:A143&lt;&gt;""),$A$7:A143) &amp; "'!E:E"), "&lt;=" &amp; $B$3
  ),
0)</f>
        <v>0</v>
      </c>
    </row>
    <row r="144" spans="1:4" ht="50" customHeight="1" x14ac:dyDescent="0.2">
      <c r="A144" s="29"/>
      <c r="B144" s="33" t="s">
        <v>364</v>
      </c>
      <c r="C144" s="28">
        <f ca="1">IFERROR(
   COUNTIF(INDIRECT("'" &amp; LOOKUP("zzz",$A$7:A144) &amp; "'!C:C"), B144),
   0
)</f>
        <v>0</v>
      </c>
      <c r="D144" s="41" cm="1">
        <f t="array" aca="1" ref="D144" ca="1">IFERROR(
  COUNTIFS(
    INDIRECT("'" &amp; LOOKUP(2,1/($A$7:A144&lt;&gt;""),$A$7:A144) &amp; "'!C:C"), $B144,
    INDIRECT("'" &amp; LOOKUP(2,1/($A$7:A144&lt;&gt;""),$A$7:A144) &amp; "'!E:E"), "&gt;=" &amp; ($B$3-6),
    INDIRECT("'" &amp; LOOKUP(2,1/($A$7:A144&lt;&gt;""),$A$7:A144) &amp; "'!E:E"), "&lt;=" &amp; $B$3
  ),
0)</f>
        <v>0</v>
      </c>
    </row>
    <row r="145" spans="1:4" ht="50" customHeight="1" x14ac:dyDescent="0.2">
      <c r="A145" s="29"/>
      <c r="B145" s="33" t="s">
        <v>359</v>
      </c>
      <c r="C145" s="28">
        <f ca="1">IFERROR(
   COUNTIF(INDIRECT("'" &amp; LOOKUP("zzz",$A$7:A145) &amp; "'!C:C"), B145),
   0
)</f>
        <v>0</v>
      </c>
      <c r="D145" s="41" cm="1">
        <f t="array" aca="1" ref="D145" ca="1">IFERROR(
  COUNTIFS(
    INDIRECT("'" &amp; LOOKUP(2,1/($A$7:A145&lt;&gt;""),$A$7:A145) &amp; "'!C:C"), $B145,
    INDIRECT("'" &amp; LOOKUP(2,1/($A$7:A145&lt;&gt;""),$A$7:A145) &amp; "'!E:E"), "&gt;=" &amp; ($B$3-6),
    INDIRECT("'" &amp; LOOKUP(2,1/($A$7:A145&lt;&gt;""),$A$7:A145) &amp; "'!E:E"), "&lt;=" &amp; $B$3
  ),
0)</f>
        <v>0</v>
      </c>
    </row>
    <row r="146" spans="1:4" ht="50" customHeight="1" x14ac:dyDescent="0.2">
      <c r="A146" s="29"/>
      <c r="B146" s="33" t="s">
        <v>90</v>
      </c>
      <c r="C146" s="28">
        <f ca="1">IFERROR(
   COUNTIF(INDIRECT("'" &amp; LOOKUP("zzz",$A$7:A146) &amp; "'!C:C"), B146),
   0
)</f>
        <v>0</v>
      </c>
      <c r="D146" s="41" cm="1">
        <f t="array" aca="1" ref="D146" ca="1">IFERROR(
  COUNTIFS(
    INDIRECT("'" &amp; LOOKUP(2,1/($A$7:A146&lt;&gt;""),$A$7:A146) &amp; "'!C:C"), $B146,
    INDIRECT("'" &amp; LOOKUP(2,1/($A$7:A146&lt;&gt;""),$A$7:A146) &amp; "'!E:E"), "&gt;=" &amp; ($B$3-6),
    INDIRECT("'" &amp; LOOKUP(2,1/($A$7:A146&lt;&gt;""),$A$7:A146) &amp; "'!E:E"), "&lt;=" &amp; $B$3
  ),
0)</f>
        <v>0</v>
      </c>
    </row>
    <row r="147" spans="1:4" ht="50" customHeight="1" x14ac:dyDescent="0.2">
      <c r="A147" s="40"/>
      <c r="B147" s="38" t="s">
        <v>160</v>
      </c>
      <c r="C147" s="37">
        <f ca="1">IFERROR(
   COUNTIF(INDIRECT("'" &amp; LOOKUP("zzz",$A$7:A147) &amp; "'!C:C"), B147),
   0
)</f>
        <v>0</v>
      </c>
      <c r="D147" s="72" cm="1">
        <f t="array" aca="1" ref="D147" ca="1">IFERROR(
  COUNTIFS(
    INDIRECT("'" &amp; LOOKUP(2,1/($A$7:A147&lt;&gt;""),$A$7:A147) &amp; "'!C:C"), $B147,
    INDIRECT("'" &amp; LOOKUP(2,1/($A$7:A147&lt;&gt;""),$A$7:A147) &amp; "'!E:E"), "&gt;=" &amp; ($B$3-6),
    INDIRECT("'" &amp; LOOKUP(2,1/($A$7:A147&lt;&gt;""),$A$7:A147) &amp; "'!E:E"), "&lt;=" &amp; $B$3
  ),
0)</f>
        <v>0</v>
      </c>
    </row>
    <row r="148" spans="1:4" ht="50" customHeight="1" x14ac:dyDescent="0.2">
      <c r="A148" s="39" t="s">
        <v>33</v>
      </c>
      <c r="B148" s="35" t="s">
        <v>133</v>
      </c>
      <c r="C148" s="30">
        <f ca="1">IFERROR(
   COUNTIF(INDIRECT("'" &amp; LOOKUP("zzz",$A$7:A148) &amp; "'!C:C"), B148),
   0
)</f>
        <v>0</v>
      </c>
      <c r="D148" s="71" cm="1">
        <f t="array" aca="1" ref="D148" ca="1">IFERROR(
  COUNTIFS(
    INDIRECT("'" &amp; LOOKUP(2,1/($A$7:A148&lt;&gt;""),$A$7:A148) &amp; "'!C:C"), $B148,
    INDIRECT("'" &amp; LOOKUP(2,1/($A$7:A148&lt;&gt;""),$A$7:A148) &amp; "'!E:E"), "&gt;=" &amp; ($B$3-6),
    INDIRECT("'" &amp; LOOKUP(2,1/($A$7:A148&lt;&gt;""),$A$7:A148) &amp; "'!E:E"), "&lt;=" &amp; $B$3
  ),
0)</f>
        <v>0</v>
      </c>
    </row>
    <row r="149" spans="1:4" ht="50" customHeight="1" x14ac:dyDescent="0.2">
      <c r="A149" s="29"/>
      <c r="B149" s="33" t="s">
        <v>111</v>
      </c>
      <c r="C149" s="28">
        <f ca="1">IFERROR(
   COUNTIF(INDIRECT("'" &amp; LOOKUP("zzz",$A$7:A149) &amp; "'!C:C"), B149),
   0
)</f>
        <v>0</v>
      </c>
      <c r="D149" s="41" cm="1">
        <f t="array" aca="1" ref="D149" ca="1">IFERROR(
  COUNTIFS(
    INDIRECT("'" &amp; LOOKUP(2,1/($A$7:A149&lt;&gt;""),$A$7:A149) &amp; "'!C:C"), $B149,
    INDIRECT("'" &amp; LOOKUP(2,1/($A$7:A149&lt;&gt;""),$A$7:A149) &amp; "'!E:E"), "&gt;=" &amp; ($B$3-6),
    INDIRECT("'" &amp; LOOKUP(2,1/($A$7:A149&lt;&gt;""),$A$7:A149) &amp; "'!E:E"), "&lt;=" &amp; $B$3
  ),
0)</f>
        <v>0</v>
      </c>
    </row>
    <row r="150" spans="1:4" ht="50" customHeight="1" x14ac:dyDescent="0.2">
      <c r="A150" s="29"/>
      <c r="B150" s="33" t="s">
        <v>93</v>
      </c>
      <c r="C150" s="28">
        <f ca="1">IFERROR(
   COUNTIF(INDIRECT("'" &amp; LOOKUP("zzz",$A$7:A150) &amp; "'!C:C"), B150),
   0
)</f>
        <v>0</v>
      </c>
      <c r="D150" s="41" cm="1">
        <f t="array" aca="1" ref="D150" ca="1">IFERROR(
  COUNTIFS(
    INDIRECT("'" &amp; LOOKUP(2,1/($A$7:A150&lt;&gt;""),$A$7:A150) &amp; "'!C:C"), $B150,
    INDIRECT("'" &amp; LOOKUP(2,1/($A$7:A150&lt;&gt;""),$A$7:A150) &amp; "'!E:E"), "&gt;=" &amp; ($B$3-6),
    INDIRECT("'" &amp; LOOKUP(2,1/($A$7:A150&lt;&gt;""),$A$7:A150) &amp; "'!E:E"), "&lt;=" &amp; $B$3
  ),
0)</f>
        <v>0</v>
      </c>
    </row>
    <row r="151" spans="1:4" ht="50" customHeight="1" x14ac:dyDescent="0.2">
      <c r="A151" s="28"/>
      <c r="B151" s="32" t="s">
        <v>125</v>
      </c>
      <c r="C151" s="28">
        <f ca="1">IFERROR(
   COUNTIF(INDIRECT("'" &amp; LOOKUP("zzz",$A$7:A151) &amp; "'!C:C"), B151),
   0
)</f>
        <v>0</v>
      </c>
      <c r="D151" s="41" cm="1">
        <f t="array" aca="1" ref="D151" ca="1">IFERROR(
  COUNTIFS(
    INDIRECT("'" &amp; LOOKUP(2,1/($A$7:A151&lt;&gt;""),$A$7:A151) &amp; "'!C:C"), $B151,
    INDIRECT("'" &amp; LOOKUP(2,1/($A$7:A151&lt;&gt;""),$A$7:A151) &amp; "'!E:E"), "&gt;=" &amp; ($B$3-6),
    INDIRECT("'" &amp; LOOKUP(2,1/($A$7:A151&lt;&gt;""),$A$7:A151) &amp; "'!E:E"), "&lt;=" &amp; $B$3
  ),
0)</f>
        <v>0</v>
      </c>
    </row>
    <row r="152" spans="1:4" ht="50" customHeight="1" x14ac:dyDescent="0.2">
      <c r="A152" s="28"/>
      <c r="B152" s="32" t="s">
        <v>74</v>
      </c>
      <c r="C152" s="28">
        <f ca="1">IFERROR(
   COUNTIF(INDIRECT("'" &amp; LOOKUP("zzz",$A$7:A152) &amp; "'!C:C"), B152),
   0
)</f>
        <v>0</v>
      </c>
      <c r="D152" s="41" cm="1">
        <f t="array" aca="1" ref="D152" ca="1">IFERROR(
  COUNTIFS(
    INDIRECT("'" &amp; LOOKUP(2,1/($A$7:A152&lt;&gt;""),$A$7:A152) &amp; "'!C:C"), $B152,
    INDIRECT("'" &amp; LOOKUP(2,1/($A$7:A152&lt;&gt;""),$A$7:A152) &amp; "'!E:E"), "&gt;=" &amp; ($B$3-6),
    INDIRECT("'" &amp; LOOKUP(2,1/($A$7:A152&lt;&gt;""),$A$7:A152) &amp; "'!E:E"), "&lt;=" &amp; $B$3
  ),
0)</f>
        <v>0</v>
      </c>
    </row>
    <row r="153" spans="1:4" ht="50" customHeight="1" x14ac:dyDescent="0.2">
      <c r="A153" s="37"/>
      <c r="B153" s="36" t="s">
        <v>54</v>
      </c>
      <c r="C153" s="37">
        <f ca="1">IFERROR(
   COUNTIF(INDIRECT("'" &amp; LOOKUP("zzz",$A$7:A153) &amp; "'!C:C"), B153),
   0
)</f>
        <v>0</v>
      </c>
      <c r="D153" s="72" cm="1">
        <f t="array" aca="1" ref="D153" ca="1">IFERROR(
  COUNTIFS(
    INDIRECT("'" &amp; LOOKUP(2,1/($A$7:A153&lt;&gt;""),$A$7:A153) &amp; "'!C:C"), $B153,
    INDIRECT("'" &amp; LOOKUP(2,1/($A$7:A153&lt;&gt;""),$A$7:A153) &amp; "'!E:E"), "&gt;=" &amp; ($B$3-6),
    INDIRECT("'" &amp; LOOKUP(2,1/($A$7:A153&lt;&gt;""),$A$7:A153) &amp; "'!E:E"), "&lt;=" &amp; $B$3
  ),
0)</f>
        <v>0</v>
      </c>
    </row>
    <row r="154" spans="1:4" ht="50" customHeight="1" x14ac:dyDescent="0.2">
      <c r="A154" s="30" t="s">
        <v>35</v>
      </c>
      <c r="B154" s="34" t="s">
        <v>126</v>
      </c>
      <c r="C154" s="30">
        <f ca="1">IFERROR(
   COUNTIF(INDIRECT("'" &amp; LOOKUP("zzz",$A$7:A154) &amp; "'!C:C"), B154),
   0
)</f>
        <v>0</v>
      </c>
      <c r="D154" s="71" cm="1">
        <f t="array" aca="1" ref="D154" ca="1">IFERROR(
  COUNTIFS(
    INDIRECT("'" &amp; LOOKUP(2,1/($A$7:A154&lt;&gt;""),$A$7:A154) &amp; "'!C:C"), $B154,
    INDIRECT("'" &amp; LOOKUP(2,1/($A$7:A154&lt;&gt;""),$A$7:A154) &amp; "'!E:E"), "&gt;=" &amp; ($B$3-6),
    INDIRECT("'" &amp; LOOKUP(2,1/($A$7:A154&lt;&gt;""),$A$7:A154) &amp; "'!E:E"), "&lt;=" &amp; $B$3
  ),
0)</f>
        <v>0</v>
      </c>
    </row>
    <row r="155" spans="1:4" ht="50" customHeight="1" x14ac:dyDescent="0.2">
      <c r="A155" s="28"/>
      <c r="B155" s="32" t="s">
        <v>112</v>
      </c>
      <c r="C155" s="28">
        <f ca="1">IFERROR(
   COUNTIF(INDIRECT("'" &amp; LOOKUP("zzz",$A$7:A155) &amp; "'!C:C"), B155),
   0
)</f>
        <v>0</v>
      </c>
      <c r="D155" s="41" cm="1">
        <f t="array" aca="1" ref="D155" ca="1">IFERROR(
  COUNTIFS(
    INDIRECT("'" &amp; LOOKUP(2,1/($A$7:A155&lt;&gt;""),$A$7:A155) &amp; "'!C:C"), $B155,
    INDIRECT("'" &amp; LOOKUP(2,1/($A$7:A155&lt;&gt;""),$A$7:A155) &amp; "'!E:E"), "&gt;=" &amp; ($B$3-6),
    INDIRECT("'" &amp; LOOKUP(2,1/($A$7:A155&lt;&gt;""),$A$7:A155) &amp; "'!E:E"), "&lt;=" &amp; $B$3
  ),
0)</f>
        <v>0</v>
      </c>
    </row>
    <row r="156" spans="1:4" ht="50" customHeight="1" x14ac:dyDescent="0.2">
      <c r="A156" s="28"/>
      <c r="B156" s="32" t="s">
        <v>95</v>
      </c>
      <c r="C156" s="28">
        <f ca="1">IFERROR(
   COUNTIF(INDIRECT("'" &amp; LOOKUP("zzz",$A$7:A156) &amp; "'!C:C"), B156),
   0
)</f>
        <v>0</v>
      </c>
      <c r="D156" s="41" cm="1">
        <f t="array" aca="1" ref="D156" ca="1">IFERROR(
  COUNTIFS(
    INDIRECT("'" &amp; LOOKUP(2,1/($A$7:A156&lt;&gt;""),$A$7:A156) &amp; "'!C:C"), $B156,
    INDIRECT("'" &amp; LOOKUP(2,1/($A$7:A156&lt;&gt;""),$A$7:A156) &amp; "'!E:E"), "&gt;=" &amp; ($B$3-6),
    INDIRECT("'" &amp; LOOKUP(2,1/($A$7:A156&lt;&gt;""),$A$7:A156) &amp; "'!E:E"), "&lt;=" &amp; $B$3
  ),
0)</f>
        <v>0</v>
      </c>
    </row>
    <row r="157" spans="1:4" ht="50" customHeight="1" x14ac:dyDescent="0.2">
      <c r="A157" s="28"/>
      <c r="B157" s="32" t="s">
        <v>56</v>
      </c>
      <c r="C157" s="28">
        <f ca="1">IFERROR(
   COUNTIF(INDIRECT("'" &amp; LOOKUP("zzz",$A$7:A157) &amp; "'!C:C"), B157),
   0
)</f>
        <v>0</v>
      </c>
      <c r="D157" s="41" cm="1">
        <f t="array" aca="1" ref="D157" ca="1">IFERROR(
  COUNTIFS(
    INDIRECT("'" &amp; LOOKUP(2,1/($A$7:A157&lt;&gt;""),$A$7:A157) &amp; "'!C:C"), $B157,
    INDIRECT("'" &amp; LOOKUP(2,1/($A$7:A157&lt;&gt;""),$A$7:A157) &amp; "'!E:E"), "&gt;=" &amp; ($B$3-6),
    INDIRECT("'" &amp; LOOKUP(2,1/($A$7:A157&lt;&gt;""),$A$7:A157) &amp; "'!E:E"), "&lt;=" &amp; $B$3
  ),
0)</f>
        <v>0</v>
      </c>
    </row>
    <row r="158" spans="1:4" ht="50" customHeight="1" x14ac:dyDescent="0.2">
      <c r="A158" s="43"/>
      <c r="B158" s="32" t="s">
        <v>75</v>
      </c>
      <c r="C158" s="28">
        <f ca="1">IFERROR(
   COUNTIF(INDIRECT("'" &amp; LOOKUP("zzz",$A$7:A158) &amp; "'!C:C"), B158),
   0
)</f>
        <v>0</v>
      </c>
      <c r="D158" s="41" cm="1">
        <f t="array" aca="1" ref="D158" ca="1">IFERROR(
  COUNTIFS(
    INDIRECT("'" &amp; LOOKUP(2,1/($A$7:A158&lt;&gt;""),$A$7:A158) &amp; "'!C:C"), $B158,
    INDIRECT("'" &amp; LOOKUP(2,1/($A$7:A158&lt;&gt;""),$A$7:A158) &amp; "'!E:E"), "&gt;=" &amp; ($B$3-6),
    INDIRECT("'" &amp; LOOKUP(2,1/($A$7:A158&lt;&gt;""),$A$7:A158) &amp; "'!E:E"), "&lt;=" &amp; $B$3
  ),
0)</f>
        <v>0</v>
      </c>
    </row>
    <row r="159" spans="1:4" ht="50" customHeight="1" x14ac:dyDescent="0.2">
      <c r="A159" s="37"/>
      <c r="B159" s="36" t="s">
        <v>108</v>
      </c>
      <c r="C159" s="37">
        <f ca="1">IFERROR(
   COUNTIF(INDIRECT("'" &amp; LOOKUP("zzz",$A$7:A159) &amp; "'!C:C"), B159),
   0
)</f>
        <v>0</v>
      </c>
      <c r="D159" s="72" cm="1">
        <f t="array" aca="1" ref="D159" ca="1">IFERROR(
  COUNTIFS(
    INDIRECT("'" &amp; LOOKUP(2,1/($A$7:A159&lt;&gt;""),$A$7:A159) &amp; "'!C:C"), $B159,
    INDIRECT("'" &amp; LOOKUP(2,1/($A$7:A159&lt;&gt;""),$A$7:A159) &amp; "'!E:E"), "&gt;=" &amp; ($B$3-6),
    INDIRECT("'" &amp; LOOKUP(2,1/($A$7:A159&lt;&gt;""),$A$7:A159) &amp; "'!E:E"), "&lt;=" &amp; $B$3
  ),
0)</f>
        <v>0</v>
      </c>
    </row>
    <row r="160" spans="1:4" ht="50" customHeight="1" x14ac:dyDescent="0.2">
      <c r="A160" s="30" t="s">
        <v>36</v>
      </c>
      <c r="B160" s="34" t="s">
        <v>57</v>
      </c>
      <c r="C160" s="30">
        <f ca="1">IFERROR(
   COUNTIF(INDIRECT("'" &amp; LOOKUP("zzz",$A$7:A160) &amp; "'!C:C"), B160),
   0
)</f>
        <v>0</v>
      </c>
      <c r="D160" s="71" cm="1">
        <f t="array" aca="1" ref="D160" ca="1">IFERROR(
  COUNTIFS(
    INDIRECT("'" &amp; LOOKUP(2,1/($A$7:A160&lt;&gt;""),$A$7:A160) &amp; "'!C:C"), $B160,
    INDIRECT("'" &amp; LOOKUP(2,1/($A$7:A160&lt;&gt;""),$A$7:A160) &amp; "'!E:E"), "&gt;=" &amp; ($B$3-6),
    INDIRECT("'" &amp; LOOKUP(2,1/($A$7:A160&lt;&gt;""),$A$7:A160) &amp; "'!E:E"), "&lt;=" &amp; $B$3
  ),
0)</f>
        <v>0</v>
      </c>
    </row>
    <row r="161" spans="1:4" ht="50" customHeight="1" x14ac:dyDescent="0.2">
      <c r="A161" s="28"/>
      <c r="B161" s="32" t="s">
        <v>76</v>
      </c>
      <c r="C161" s="28">
        <f ca="1">IFERROR(
   COUNTIF(INDIRECT("'" &amp; LOOKUP("zzz",$A$7:A161) &amp; "'!C:C"), B161),
   0
)</f>
        <v>0</v>
      </c>
      <c r="D161" s="41" cm="1">
        <f t="array" aca="1" ref="D161" ca="1">IFERROR(
  COUNTIFS(
    INDIRECT("'" &amp; LOOKUP(2,1/($A$7:A161&lt;&gt;""),$A$7:A161) &amp; "'!C:C"), $B161,
    INDIRECT("'" &amp; LOOKUP(2,1/($A$7:A161&lt;&gt;""),$A$7:A161) &amp; "'!E:E"), "&gt;=" &amp; ($B$3-6),
    INDIRECT("'" &amp; LOOKUP(2,1/($A$7:A161&lt;&gt;""),$A$7:A161) &amp; "'!E:E"), "&lt;=" &amp; $B$3
  ),
0)</f>
        <v>0</v>
      </c>
    </row>
    <row r="162" spans="1:4" ht="50" customHeight="1" x14ac:dyDescent="0.2">
      <c r="A162" s="37"/>
      <c r="B162" s="36" t="s">
        <v>96</v>
      </c>
      <c r="C162" s="37">
        <f ca="1">IFERROR(
   COUNTIF(INDIRECT("'" &amp; LOOKUP("zzz",$A$7:A162) &amp; "'!C:C"), B162),
   0
)</f>
        <v>0</v>
      </c>
      <c r="D162" s="72" cm="1">
        <f t="array" aca="1" ref="D162" ca="1">IFERROR(
  COUNTIFS(
    INDIRECT("'" &amp; LOOKUP(2,1/($A$7:A162&lt;&gt;""),$A$7:A162) &amp; "'!C:C"), $B162,
    INDIRECT("'" &amp; LOOKUP(2,1/($A$7:A162&lt;&gt;""),$A$7:A162) &amp; "'!E:E"), "&gt;=" &amp; ($B$3-6),
    INDIRECT("'" &amp; LOOKUP(2,1/($A$7:A162&lt;&gt;""),$A$7:A162) &amp; "'!E:E"), "&lt;=" &amp; $B$3
  ),
0)</f>
        <v>0</v>
      </c>
    </row>
    <row r="163" spans="1:4" ht="50" customHeight="1" x14ac:dyDescent="0.2">
      <c r="A163" s="30" t="s">
        <v>37</v>
      </c>
      <c r="B163" s="34" t="s">
        <v>13</v>
      </c>
      <c r="C163" s="30">
        <f ca="1">IFERROR(
   COUNTIF(INDIRECT("'" &amp; LOOKUP("zzz",$A$7:A163) &amp; "'!C:C"), B163),
   0
)</f>
        <v>0</v>
      </c>
      <c r="D163" s="71" cm="1">
        <f t="array" aca="1" ref="D163" ca="1">IFERROR(
  COUNTIFS(
    INDIRECT("'" &amp; LOOKUP(2,1/($A$7:A163&lt;&gt;""),$A$7:A163) &amp; "'!C:C"), $B163,
    INDIRECT("'" &amp; LOOKUP(2,1/($A$7:A163&lt;&gt;""),$A$7:A163) &amp; "'!E:E"), "&gt;=" &amp; ($B$3-6),
    INDIRECT("'" &amp; LOOKUP(2,1/($A$7:A163&lt;&gt;""),$A$7:A163) &amp; "'!E:E"), "&lt;=" &amp; $B$3
  ),
0)</f>
        <v>0</v>
      </c>
    </row>
    <row r="164" spans="1:4" ht="50" customHeight="1" x14ac:dyDescent="0.2">
      <c r="A164" s="28"/>
      <c r="B164" s="32" t="s">
        <v>113</v>
      </c>
      <c r="C164" s="28">
        <f ca="1">IFERROR(
   COUNTIF(INDIRECT("'" &amp; LOOKUP("zzz",$A$7:A164) &amp; "'!C:C"), B164),
   0
)</f>
        <v>0</v>
      </c>
      <c r="D164" s="41" cm="1">
        <f t="array" aca="1" ref="D164" ca="1">IFERROR(
  COUNTIFS(
    INDIRECT("'" &amp; LOOKUP(2,1/($A$7:A164&lt;&gt;""),$A$7:A164) &amp; "'!C:C"), $B164,
    INDIRECT("'" &amp; LOOKUP(2,1/($A$7:A164&lt;&gt;""),$A$7:A164) &amp; "'!E:E"), "&gt;=" &amp; ($B$3-6),
    INDIRECT("'" &amp; LOOKUP(2,1/($A$7:A164&lt;&gt;""),$A$7:A164) &amp; "'!E:E"), "&lt;=" &amp; $B$3
  ),
0)</f>
        <v>0</v>
      </c>
    </row>
    <row r="165" spans="1:4" ht="50" customHeight="1" x14ac:dyDescent="0.2">
      <c r="A165" s="28"/>
      <c r="B165" s="32" t="s">
        <v>97</v>
      </c>
      <c r="C165" s="28">
        <f ca="1">IFERROR(
   COUNTIF(INDIRECT("'" &amp; LOOKUP("zzz",$A$7:A165) &amp; "'!C:C"), B165),
   0
)</f>
        <v>0</v>
      </c>
      <c r="D165" s="41" cm="1">
        <f t="array" aca="1" ref="D165" ca="1">IFERROR(
  COUNTIFS(
    INDIRECT("'" &amp; LOOKUP(2,1/($A$7:A165&lt;&gt;""),$A$7:A165) &amp; "'!C:C"), $B165,
    INDIRECT("'" &amp; LOOKUP(2,1/($A$7:A165&lt;&gt;""),$A$7:A165) &amp; "'!E:E"), "&gt;=" &amp; ($B$3-6),
    INDIRECT("'" &amp; LOOKUP(2,1/($A$7:A165&lt;&gt;""),$A$7:A165) &amp; "'!E:E"), "&lt;=" &amp; $B$3
  ),
0)</f>
        <v>0</v>
      </c>
    </row>
    <row r="166" spans="1:4" ht="50" customHeight="1" x14ac:dyDescent="0.2">
      <c r="A166" s="28"/>
      <c r="B166" s="32" t="s">
        <v>11</v>
      </c>
      <c r="C166" s="28">
        <f ca="1">IFERROR(
   COUNTIF(INDIRECT("'" &amp; LOOKUP("zzz",$A$7:A166) &amp; "'!C:C"), B166),
   0
)</f>
        <v>0</v>
      </c>
      <c r="D166" s="41" cm="1">
        <f t="array" aca="1" ref="D166" ca="1">IFERROR(
  COUNTIFS(
    INDIRECT("'" &amp; LOOKUP(2,1/($A$7:A166&lt;&gt;""),$A$7:A166) &amp; "'!C:C"), $B166,
    INDIRECT("'" &amp; LOOKUP(2,1/($A$7:A166&lt;&gt;""),$A$7:A166) &amp; "'!E:E"), "&gt;=" &amp; ($B$3-6),
    INDIRECT("'" &amp; LOOKUP(2,1/($A$7:A166&lt;&gt;""),$A$7:A166) &amp; "'!E:E"), "&lt;=" &amp; $B$3
  ),
0)</f>
        <v>0</v>
      </c>
    </row>
    <row r="167" spans="1:4" ht="50" customHeight="1" x14ac:dyDescent="0.2">
      <c r="A167" s="28"/>
      <c r="B167" s="32" t="s">
        <v>14</v>
      </c>
      <c r="C167" s="28">
        <f ca="1">IFERROR(
   COUNTIF(INDIRECT("'" &amp; LOOKUP("zzz",$A$7:A167) &amp; "'!C:C"), B167),
   0
)</f>
        <v>0</v>
      </c>
      <c r="D167" s="41" cm="1">
        <f t="array" aca="1" ref="D167" ca="1">IFERROR(
  COUNTIFS(
    INDIRECT("'" &amp; LOOKUP(2,1/($A$7:A167&lt;&gt;""),$A$7:A167) &amp; "'!C:C"), $B167,
    INDIRECT("'" &amp; LOOKUP(2,1/($A$7:A167&lt;&gt;""),$A$7:A167) &amp; "'!E:E"), "&gt;=" &amp; ($B$3-6),
    INDIRECT("'" &amp; LOOKUP(2,1/($A$7:A167&lt;&gt;""),$A$7:A167) &amp; "'!E:E"), "&lt;=" &amp; $B$3
  ),
0)</f>
        <v>0</v>
      </c>
    </row>
    <row r="168" spans="1:4" ht="50" customHeight="1" x14ac:dyDescent="0.2">
      <c r="A168" s="28"/>
      <c r="B168" s="32" t="s">
        <v>134</v>
      </c>
      <c r="C168" s="28">
        <f ca="1">IFERROR(
   COUNTIF(INDIRECT("'" &amp; LOOKUP("zzz",$A$7:A168) &amp; "'!C:C"), B168),
   0
)</f>
        <v>0</v>
      </c>
      <c r="D168" s="41" cm="1">
        <f t="array" aca="1" ref="D168" ca="1">IFERROR(
  COUNTIFS(
    INDIRECT("'" &amp; LOOKUP(2,1/($A$7:A168&lt;&gt;""),$A$7:A168) &amp; "'!C:C"), $B168,
    INDIRECT("'" &amp; LOOKUP(2,1/($A$7:A168&lt;&gt;""),$A$7:A168) &amp; "'!E:E"), "&gt;=" &amp; ($B$3-6),
    INDIRECT("'" &amp; LOOKUP(2,1/($A$7:A168&lt;&gt;""),$A$7:A168) &amp; "'!E:E"), "&lt;=" &amp; $B$3
  ),
0)</f>
        <v>0</v>
      </c>
    </row>
    <row r="169" spans="1:4" ht="50" customHeight="1" x14ac:dyDescent="0.2">
      <c r="A169" s="28"/>
      <c r="B169" s="32" t="s">
        <v>15</v>
      </c>
      <c r="C169" s="28">
        <f ca="1">IFERROR(
   COUNTIF(INDIRECT("'" &amp; LOOKUP("zzz",$A$7:A169) &amp; "'!C:C"), B169),
   0
)</f>
        <v>0</v>
      </c>
      <c r="D169" s="41" cm="1">
        <f t="array" aca="1" ref="D169" ca="1">IFERROR(
  COUNTIFS(
    INDIRECT("'" &amp; LOOKUP(2,1/($A$7:A169&lt;&gt;""),$A$7:A169) &amp; "'!C:C"), $B169,
    INDIRECT("'" &amp; LOOKUP(2,1/($A$7:A169&lt;&gt;""),$A$7:A169) &amp; "'!E:E"), "&gt;=" &amp; ($B$3-6),
    INDIRECT("'" &amp; LOOKUP(2,1/($A$7:A169&lt;&gt;""),$A$7:A169) &amp; "'!E:E"), "&lt;=" &amp; $B$3
  ),
0)</f>
        <v>0</v>
      </c>
    </row>
    <row r="170" spans="1:4" ht="50" customHeight="1" x14ac:dyDescent="0.2">
      <c r="A170" s="37"/>
      <c r="B170" s="36" t="s">
        <v>138</v>
      </c>
      <c r="C170" s="37">
        <f ca="1">IFERROR(
   COUNTIF(INDIRECT("'" &amp; LOOKUP("zzz",$A$7:A170) &amp; "'!C:C"), B170),
   0
)</f>
        <v>0</v>
      </c>
      <c r="D170" s="72" cm="1">
        <f t="array" aca="1" ref="D170" ca="1">IFERROR(
  COUNTIFS(
    INDIRECT("'" &amp; LOOKUP(2,1/($A$7:A170&lt;&gt;""),$A$7:A170) &amp; "'!C:C"), $B170,
    INDIRECT("'" &amp; LOOKUP(2,1/($A$7:A170&lt;&gt;""),$A$7:A170) &amp; "'!E:E"), "&gt;=" &amp; ($B$3-6),
    INDIRECT("'" &amp; LOOKUP(2,1/($A$7:A170&lt;&gt;""),$A$7:A170) &amp; "'!E:E"), "&lt;=" &amp; $B$3
  ),
0)</f>
        <v>0</v>
      </c>
    </row>
    <row r="171" spans="1:4" ht="50" customHeight="1" x14ac:dyDescent="0.2">
      <c r="A171" s="39" t="s">
        <v>22</v>
      </c>
      <c r="B171" s="35" t="s">
        <v>40</v>
      </c>
      <c r="C171" s="30">
        <f ca="1">IFERROR(
   COUNTIF(INDIRECT("'" &amp; LOOKUP("zzz",$A$7:A171) &amp; "'!C:C"), B171),
   0
)</f>
        <v>0</v>
      </c>
      <c r="D171" s="71" cm="1">
        <f t="array" aca="1" ref="D171" ca="1">IFERROR(
  COUNTIFS(
    INDIRECT("'" &amp; LOOKUP(2,1/($A$7:A171&lt;&gt;""),$A$7:A171) &amp; "'!C:C"), $B171,
    INDIRECT("'" &amp; LOOKUP(2,1/($A$7:A171&lt;&gt;""),$A$7:A171) &amp; "'!E:E"), "&gt;=" &amp; ($B$3-6),
    INDIRECT("'" &amp; LOOKUP(2,1/($A$7:A171&lt;&gt;""),$A$7:A171) &amp; "'!E:E"), "&lt;=" &amp; $B$3
  ),
0)</f>
        <v>0</v>
      </c>
    </row>
    <row r="172" spans="1:4" ht="50" customHeight="1" x14ac:dyDescent="0.2">
      <c r="A172" s="39"/>
      <c r="B172" s="35" t="s">
        <v>59</v>
      </c>
      <c r="C172" s="30">
        <f ca="1">IFERROR(
   COUNTIF(INDIRECT("'" &amp; LOOKUP("zzz",$A$7:A172) &amp; "'!C:C"), B172),
   0
)</f>
        <v>0</v>
      </c>
      <c r="D172" s="42" cm="1">
        <f t="array" aca="1" ref="D172" ca="1">IFERROR(
  COUNTIFS(
    INDIRECT("'" &amp; LOOKUP(2,1/($A$7:A172&lt;&gt;""),$A$7:A172) &amp; "'!C:C"), $B172,
    INDIRECT("'" &amp; LOOKUP(2,1/($A$7:A172&lt;&gt;""),$A$7:A172) &amp; "'!E:E"), "&gt;=" &amp; ($B$3-6),
    INDIRECT("'" &amp; LOOKUP(2,1/($A$7:A172&lt;&gt;""),$A$7:A172) &amp; "'!E:E"), "&lt;=" &amp; $B$3
  ),
0)</f>
        <v>0</v>
      </c>
    </row>
    <row r="173" spans="1:4" ht="50" customHeight="1" x14ac:dyDescent="0.2">
      <c r="A173" s="39"/>
      <c r="B173" s="35" t="s">
        <v>319</v>
      </c>
      <c r="C173" s="30">
        <f ca="1">IFERROR(
   COUNTIF(INDIRECT("'" &amp; LOOKUP("zzz",$A$7:A173) &amp; "'!C:C"), B173),
   0
)</f>
        <v>0</v>
      </c>
      <c r="D173" s="42" cm="1">
        <f t="array" aca="1" ref="D173" ca="1">IFERROR(
  COUNTIFS(
    INDIRECT("'" &amp; LOOKUP(2,1/($A$7:A173&lt;&gt;""),$A$7:A173) &amp; "'!C:C"), $B173,
    INDIRECT("'" &amp; LOOKUP(2,1/($A$7:A173&lt;&gt;""),$A$7:A173) &amp; "'!E:E"), "&gt;=" &amp; ($B$3-6),
    INDIRECT("'" &amp; LOOKUP(2,1/($A$7:A173&lt;&gt;""),$A$7:A173) &amp; "'!E:E"), "&lt;=" &amp; $B$3
  ),
0)</f>
        <v>0</v>
      </c>
    </row>
    <row r="174" spans="1:4" ht="50" customHeight="1" x14ac:dyDescent="0.2">
      <c r="A174" s="39"/>
      <c r="B174" s="35" t="s">
        <v>329</v>
      </c>
      <c r="C174" s="30">
        <f ca="1">IFERROR(
   COUNTIF(INDIRECT("'" &amp; LOOKUP("zzz",$A$7:A174) &amp; "'!C:C"), B174),
   0
)</f>
        <v>0</v>
      </c>
      <c r="D174" s="42" cm="1">
        <f t="array" aca="1" ref="D174" ca="1">IFERROR(
  COUNTIFS(
    INDIRECT("'" &amp; LOOKUP(2,1/($A$7:A174&lt;&gt;""),$A$7:A174) &amp; "'!C:C"), $B174,
    INDIRECT("'" &amp; LOOKUP(2,1/($A$7:A174&lt;&gt;""),$A$7:A174) &amp; "'!E:E"), "&gt;=" &amp; ($B$3-6),
    INDIRECT("'" &amp; LOOKUP(2,1/($A$7:A174&lt;&gt;""),$A$7:A174) &amp; "'!E:E"), "&lt;=" &amp; $B$3
  ),
0)</f>
        <v>0</v>
      </c>
    </row>
    <row r="175" spans="1:4" ht="50" customHeight="1" x14ac:dyDescent="0.2">
      <c r="A175" s="39"/>
      <c r="B175" s="35" t="s">
        <v>135</v>
      </c>
      <c r="C175" s="30">
        <f ca="1">IFERROR(
   COUNTIF(INDIRECT("'" &amp; LOOKUP("zzz",$A$7:A175) &amp; "'!C:C"), B175),
   0
)</f>
        <v>0</v>
      </c>
      <c r="D175" s="42" cm="1">
        <f t="array" aca="1" ref="D175" ca="1">IFERROR(
  COUNTIFS(
    INDIRECT("'" &amp; LOOKUP(2,1/($A$7:A175&lt;&gt;""),$A$7:A175) &amp; "'!C:C"), $B175,
    INDIRECT("'" &amp; LOOKUP(2,1/($A$7:A175&lt;&gt;""),$A$7:A175) &amp; "'!E:E"), "&gt;=" &amp; ($B$3-6),
    INDIRECT("'" &amp; LOOKUP(2,1/($A$7:A175&lt;&gt;""),$A$7:A175) &amp; "'!E:E"), "&lt;=" &amp; $B$3
  ),
0)</f>
        <v>0</v>
      </c>
    </row>
    <row r="176" spans="1:4" ht="50" customHeight="1" x14ac:dyDescent="0.2">
      <c r="A176" s="39"/>
      <c r="B176" s="35" t="s">
        <v>365</v>
      </c>
      <c r="C176" s="30">
        <f ca="1">IFERROR(
   COUNTIF(INDIRECT("'" &amp; LOOKUP("zzz",$A$7:A176) &amp; "'!C:C"), B176),
   0
)</f>
        <v>0</v>
      </c>
      <c r="D176" s="42" cm="1">
        <f t="array" aca="1" ref="D176" ca="1">IFERROR(
  COUNTIFS(
    INDIRECT("'" &amp; LOOKUP(2,1/($A$7:A176&lt;&gt;""),$A$7:A176) &amp; "'!C:C"), $B176,
    INDIRECT("'" &amp; LOOKUP(2,1/($A$7:A176&lt;&gt;""),$A$7:A176) &amp; "'!E:E"), "&gt;=" &amp; ($B$3-6),
    INDIRECT("'" &amp; LOOKUP(2,1/($A$7:A176&lt;&gt;""),$A$7:A176) &amp; "'!E:E"), "&lt;=" &amp; $B$3
  ),
0)</f>
        <v>0</v>
      </c>
    </row>
    <row r="177" spans="1:4" ht="50" customHeight="1" x14ac:dyDescent="0.2">
      <c r="A177" s="29"/>
      <c r="B177" s="33" t="s">
        <v>366</v>
      </c>
      <c r="C177" s="28">
        <f ca="1">IFERROR(
   COUNTIF(INDIRECT("'" &amp; LOOKUP("zzz",$A$7:A177) &amp; "'!C:C"), B177),
   0
)</f>
        <v>0</v>
      </c>
      <c r="D177" s="41" cm="1">
        <f t="array" aca="1" ref="D177" ca="1">IFERROR(
  COUNTIFS(
    INDIRECT("'" &amp; LOOKUP(2,1/($A$7:A177&lt;&gt;""),$A$7:A177) &amp; "'!C:C"), $B177,
    INDIRECT("'" &amp; LOOKUP(2,1/($A$7:A177&lt;&gt;""),$A$7:A177) &amp; "'!E:E"), "&gt;=" &amp; ($B$3-6),
    INDIRECT("'" &amp; LOOKUP(2,1/($A$7:A177&lt;&gt;""),$A$7:A177) &amp; "'!E:E"), "&lt;=" &amp; $B$3
  ),
0)</f>
        <v>0</v>
      </c>
    </row>
    <row r="178" spans="1:4" ht="50" customHeight="1" x14ac:dyDescent="0.2">
      <c r="A178" s="60"/>
      <c r="B178" s="53" t="s">
        <v>99</v>
      </c>
      <c r="C178" s="43">
        <f ca="1">IFERROR(
   COUNTIF(INDIRECT("'" &amp; LOOKUP("zzz",$A$7:A178) &amp; "'!C:C"), B178),
   0
)</f>
        <v>0</v>
      </c>
      <c r="D178" s="72" cm="1">
        <f t="array" aca="1" ref="D178" ca="1">IFERROR(
  COUNTIFS(
    INDIRECT("'" &amp; LOOKUP(2,1/($A$7:A178&lt;&gt;""),$A$7:A178) &amp; "'!C:C"), $B178,
    INDIRECT("'" &amp; LOOKUP(2,1/($A$7:A178&lt;&gt;""),$A$7:A178) &amp; "'!E:E"), "&gt;=" &amp; ($B$3-6),
    INDIRECT("'" &amp; LOOKUP(2,1/($A$7:A178&lt;&gt;""),$A$7:A178) &amp; "'!E:E"), "&lt;=" &amp; $B$3
  ),
0)</f>
        <v>0</v>
      </c>
    </row>
    <row r="179" spans="1:4" ht="50" customHeight="1" x14ac:dyDescent="0.2">
      <c r="A179" s="62" t="s">
        <v>23</v>
      </c>
      <c r="B179" s="34" t="s">
        <v>139</v>
      </c>
      <c r="C179" s="64">
        <f ca="1">IFERROR(
   COUNTIF(INDIRECT("'" &amp; LOOKUP("zzz",$A$7:A179) &amp; "'!C:C"), B179),
   0
)</f>
        <v>0</v>
      </c>
      <c r="D179" s="71" cm="1">
        <f t="array" aca="1" ref="D179" ca="1">IFERROR(
  COUNTIFS(
    INDIRECT("'" &amp; LOOKUP(2,1/($A$7:A179&lt;&gt;""),$A$7:A179) &amp; "'!C:C"), $B179,
    INDIRECT("'" &amp; LOOKUP(2,1/($A$7:A179&lt;&gt;""),$A$7:A179) &amp; "'!E:E"), "&gt;=" &amp; ($B$3-6),
    INDIRECT("'" &amp; LOOKUP(2,1/($A$7:A179&lt;&gt;""),$A$7:A179) &amp; "'!E:E"), "&lt;=" &amp; $B$3
  ),
0)</f>
        <v>0</v>
      </c>
    </row>
    <row r="180" spans="1:4" ht="50" customHeight="1" x14ac:dyDescent="0.2">
      <c r="A180" s="29"/>
      <c r="B180" s="32" t="s">
        <v>60</v>
      </c>
      <c r="C180" s="28">
        <f ca="1">IFERROR(
   COUNTIF(INDIRECT("'" &amp; LOOKUP("zzz",$A$7:A180) &amp; "'!C:C"), B180),
   0
)</f>
        <v>0</v>
      </c>
      <c r="D180" s="41" cm="1">
        <f t="array" aca="1" ref="D180" ca="1">IFERROR(
  COUNTIFS(
    INDIRECT("'" &amp; LOOKUP(2,1/($A$7:A180&lt;&gt;""),$A$7:A180) &amp; "'!C:C"), $B180,
    INDIRECT("'" &amp; LOOKUP(2,1/($A$7:A180&lt;&gt;""),$A$7:A180) &amp; "'!E:E"), "&gt;=" &amp; ($B$3-6),
    INDIRECT("'" &amp; LOOKUP(2,1/($A$7:A180&lt;&gt;""),$A$7:A180) &amp; "'!E:E"), "&lt;=" &amp; $B$3
  ),
0)</f>
        <v>0</v>
      </c>
    </row>
    <row r="181" spans="1:4" ht="50" customHeight="1" x14ac:dyDescent="0.2">
      <c r="A181" s="29"/>
      <c r="B181" s="32" t="s">
        <v>137</v>
      </c>
      <c r="C181" s="28">
        <f ca="1">IFERROR(
   COUNTIF(INDIRECT("'" &amp; LOOKUP("zzz",$A$7:A181) &amp; "'!C:C"), B181),
   0
)</f>
        <v>0</v>
      </c>
      <c r="D181" s="41" cm="1">
        <f t="array" aca="1" ref="D181" ca="1">IFERROR(
  COUNTIFS(
    INDIRECT("'" &amp; LOOKUP(2,1/($A$7:A181&lt;&gt;""),$A$7:A181) &amp; "'!C:C"), $B181,
    INDIRECT("'" &amp; LOOKUP(2,1/($A$7:A181&lt;&gt;""),$A$7:A181) &amp; "'!E:E"), "&gt;=" &amp; ($B$3-6),
    INDIRECT("'" &amp; LOOKUP(2,1/($A$7:A181&lt;&gt;""),$A$7:A181) &amp; "'!E:E"), "&lt;=" &amp; $B$3
  ),
0)</f>
        <v>0</v>
      </c>
    </row>
    <row r="182" spans="1:4" ht="50" customHeight="1" x14ac:dyDescent="0.2">
      <c r="A182" s="29"/>
      <c r="B182" s="32" t="s">
        <v>127</v>
      </c>
      <c r="C182" s="28">
        <f ca="1">IFERROR(
   COUNTIF(INDIRECT("'" &amp; LOOKUP("zzz",$A$7:A182) &amp; "'!C:C"), B182),
   0
)</f>
        <v>0</v>
      </c>
      <c r="D182" s="41" cm="1">
        <f t="array" aca="1" ref="D182" ca="1">IFERROR(
  COUNTIFS(
    INDIRECT("'" &amp; LOOKUP(2,1/($A$7:A182&lt;&gt;""),$A$7:A182) &amp; "'!C:C"), $B182,
    INDIRECT("'" &amp; LOOKUP(2,1/($A$7:A182&lt;&gt;""),$A$7:A182) &amp; "'!E:E"), "&gt;=" &amp; ($B$3-6),
    INDIRECT("'" &amp; LOOKUP(2,1/($A$7:A182&lt;&gt;""),$A$7:A182) &amp; "'!E:E"), "&lt;=" &amp; $B$3
  ),
0)</f>
        <v>0</v>
      </c>
    </row>
    <row r="183" spans="1:4" ht="50" customHeight="1" x14ac:dyDescent="0.2">
      <c r="A183" s="29"/>
      <c r="B183" s="32" t="s">
        <v>367</v>
      </c>
      <c r="C183" s="28">
        <f ca="1">IFERROR(
   COUNTIF(INDIRECT("'" &amp; LOOKUP("zzz",$A$7:A183) &amp; "'!C:C"), B183),
   0
)</f>
        <v>0</v>
      </c>
      <c r="D183" s="41" cm="1">
        <f t="array" aca="1" ref="D183" ca="1">IFERROR(
  COUNTIFS(
    INDIRECT("'" &amp; LOOKUP(2,1/($A$7:A183&lt;&gt;""),$A$7:A183) &amp; "'!C:C"), $B183,
    INDIRECT("'" &amp; LOOKUP(2,1/($A$7:A183&lt;&gt;""),$A$7:A183) &amp; "'!E:E"), "&gt;=" &amp; ($B$3-6),
    INDIRECT("'" &amp; LOOKUP(2,1/($A$7:A183&lt;&gt;""),$A$7:A183) &amp; "'!E:E"), "&lt;=" &amp; $B$3
  ),
0)</f>
        <v>0</v>
      </c>
    </row>
    <row r="184" spans="1:4" ht="50" customHeight="1" x14ac:dyDescent="0.2">
      <c r="A184" s="29"/>
      <c r="B184" s="32" t="s">
        <v>368</v>
      </c>
      <c r="C184" s="28">
        <f ca="1">IFERROR(
   COUNTIF(INDIRECT("'" &amp; LOOKUP("zzz",$A$7:A184) &amp; "'!C:C"), B184),
   0
)</f>
        <v>0</v>
      </c>
      <c r="D184" s="41" cm="1">
        <f t="array" aca="1" ref="D184" ca="1">IFERROR(
  COUNTIFS(
    INDIRECT("'" &amp; LOOKUP(2,1/($A$7:A184&lt;&gt;""),$A$7:A184) &amp; "'!C:C"), $B184,
    INDIRECT("'" &amp; LOOKUP(2,1/($A$7:A184&lt;&gt;""),$A$7:A184) &amp; "'!E:E"), "&gt;=" &amp; ($B$3-6),
    INDIRECT("'" &amp; LOOKUP(2,1/($A$7:A184&lt;&gt;""),$A$7:A184) &amp; "'!E:E"), "&lt;=" &amp; $B$3
  ),
0)</f>
        <v>0</v>
      </c>
    </row>
    <row r="185" spans="1:4" ht="50" customHeight="1" x14ac:dyDescent="0.2">
      <c r="A185" s="29"/>
      <c r="B185" s="33" t="s">
        <v>128</v>
      </c>
      <c r="C185" s="28">
        <f ca="1">IFERROR(
   COUNTIF(INDIRECT("'" &amp; LOOKUP("zzz",$A$7:A185) &amp; "'!C:C"), B185),
   0
)</f>
        <v>0</v>
      </c>
      <c r="D185" s="41" cm="1">
        <f t="array" aca="1" ref="D185" ca="1">IFERROR(
  COUNTIFS(
    INDIRECT("'" &amp; LOOKUP(2,1/($A$7:A185&lt;&gt;""),$A$7:A185) &amp; "'!C:C"), $B185,
    INDIRECT("'" &amp; LOOKUP(2,1/($A$7:A185&lt;&gt;""),$A$7:A185) &amp; "'!E:E"), "&gt;=" &amp; ($B$3-6),
    INDIRECT("'" &amp; LOOKUP(2,1/($A$7:A185&lt;&gt;""),$A$7:A185) &amp; "'!E:E"), "&lt;=" &amp; $B$3
  ),
0)</f>
        <v>0</v>
      </c>
    </row>
    <row r="186" spans="1:4" ht="50" customHeight="1" x14ac:dyDescent="0.2">
      <c r="A186" s="29"/>
      <c r="B186" s="33" t="s">
        <v>257</v>
      </c>
      <c r="C186" s="28">
        <f ca="1">IFERROR(
   COUNTIF(INDIRECT("'" &amp; LOOKUP("zzz",$A$7:A186) &amp; "'!C:C"), B186),
   0
)</f>
        <v>0</v>
      </c>
      <c r="D186" s="41" cm="1">
        <f t="array" aca="1" ref="D186" ca="1">IFERROR(
  COUNTIFS(
    INDIRECT("'" &amp; LOOKUP(2,1/($A$7:A186&lt;&gt;""),$A$7:A186) &amp; "'!C:C"), $B186,
    INDIRECT("'" &amp; LOOKUP(2,1/($A$7:A186&lt;&gt;""),$A$7:A186) &amp; "'!E:E"), "&gt;=" &amp; ($B$3-6),
    INDIRECT("'" &amp; LOOKUP(2,1/($A$7:A186&lt;&gt;""),$A$7:A186) &amp; "'!E:E"), "&lt;=" &amp; $B$3
  ),
0)</f>
        <v>0</v>
      </c>
    </row>
    <row r="187" spans="1:4" ht="50" customHeight="1" x14ac:dyDescent="0.2">
      <c r="A187" s="28"/>
      <c r="B187" s="33" t="s">
        <v>369</v>
      </c>
      <c r="C187" s="28">
        <f ca="1">IFERROR(
   COUNTIF(INDIRECT("'" &amp; LOOKUP("zzz",$A$7:A187) &amp; "'!C:C"), B187),
   0
)</f>
        <v>0</v>
      </c>
      <c r="D187" s="41" cm="1">
        <f t="array" aca="1" ref="D187" ca="1">IFERROR(
  COUNTIFS(
    INDIRECT("'" &amp; LOOKUP(2,1/($A$7:A187&lt;&gt;""),$A$7:A187) &amp; "'!C:C"), $B187,
    INDIRECT("'" &amp; LOOKUP(2,1/($A$7:A187&lt;&gt;""),$A$7:A187) &amp; "'!E:E"), "&gt;=" &amp; ($B$3-6),
    INDIRECT("'" &amp; LOOKUP(2,1/($A$7:A187&lt;&gt;""),$A$7:A187) &amp; "'!E:E"), "&lt;=" &amp; $B$3
  ),
0)</f>
        <v>0</v>
      </c>
    </row>
    <row r="188" spans="1:4" ht="50" customHeight="1" x14ac:dyDescent="0.2">
      <c r="A188" s="29"/>
      <c r="B188" s="33" t="s">
        <v>370</v>
      </c>
      <c r="C188" s="28">
        <f ca="1">IFERROR(
   COUNTIF(INDIRECT("'" &amp; LOOKUP("zzz",$A$7:A188) &amp; "'!C:C"), B188),
   0
)</f>
        <v>0</v>
      </c>
      <c r="D188" s="41" cm="1">
        <f t="array" aca="1" ref="D188" ca="1">IFERROR(
  COUNTIFS(
    INDIRECT("'" &amp; LOOKUP(2,1/($A$7:A188&lt;&gt;""),$A$7:A188) &amp; "'!C:C"), $B188,
    INDIRECT("'" &amp; LOOKUP(2,1/($A$7:A188&lt;&gt;""),$A$7:A188) &amp; "'!E:E"), "&gt;=" &amp; ($B$3-6),
    INDIRECT("'" &amp; LOOKUP(2,1/($A$7:A188&lt;&gt;""),$A$7:A188) &amp; "'!E:E"), "&lt;=" &amp; $B$3
  ),
0)</f>
        <v>0</v>
      </c>
    </row>
    <row r="189" spans="1:4" ht="50" customHeight="1" x14ac:dyDescent="0.2">
      <c r="A189" s="28"/>
      <c r="B189" s="33" t="s">
        <v>371</v>
      </c>
      <c r="C189" s="28">
        <f ca="1">IFERROR(
   COUNTIF(INDIRECT("'" &amp; LOOKUP("zzz",$A$7:A189) &amp; "'!C:C"), B189),
   0
)</f>
        <v>0</v>
      </c>
      <c r="D189" s="41" cm="1">
        <f t="array" aca="1" ref="D189" ca="1">IFERROR(
  COUNTIFS(
    INDIRECT("'" &amp; LOOKUP(2,1/($A$7:A189&lt;&gt;""),$A$7:A189) &amp; "'!C:C"), $B189,
    INDIRECT("'" &amp; LOOKUP(2,1/($A$7:A189&lt;&gt;""),$A$7:A189) &amp; "'!E:E"), "&gt;=" &amp; ($B$3-6),
    INDIRECT("'" &amp; LOOKUP(2,1/($A$7:A189&lt;&gt;""),$A$7:A189) &amp; "'!E:E"), "&lt;=" &amp; $B$3
  ),
0)</f>
        <v>0</v>
      </c>
    </row>
    <row r="190" spans="1:4" ht="50" customHeight="1" x14ac:dyDescent="0.2">
      <c r="A190" s="40"/>
      <c r="B190" s="38" t="s">
        <v>78</v>
      </c>
      <c r="C190" s="37">
        <f ca="1">IFERROR(
   COUNTIF(INDIRECT("'" &amp; LOOKUP("zzz",$A$7:A190) &amp; "'!C:C"), B190),
   0
)</f>
        <v>0</v>
      </c>
      <c r="D190" s="72" cm="1">
        <f t="array" aca="1" ref="D190" ca="1">IFERROR(
  COUNTIFS(
    INDIRECT("'" &amp; LOOKUP(2,1/($A$7:A190&lt;&gt;""),$A$7:A190) &amp; "'!C:C"), $B190,
    INDIRECT("'" &amp; LOOKUP(2,1/($A$7:A190&lt;&gt;""),$A$7:A190) &amp; "'!E:E"), "&gt;=" &amp; ($B$3-6),
    INDIRECT("'" &amp; LOOKUP(2,1/($A$7:A190&lt;&gt;""),$A$7:A190) &amp; "'!E:E"), "&lt;=" &amp; $B$3
  ),
0)</f>
        <v>0</v>
      </c>
    </row>
    <row r="191" spans="1:4" ht="50" customHeight="1" x14ac:dyDescent="0.2">
      <c r="A191" s="39" t="s">
        <v>24</v>
      </c>
      <c r="B191" s="34" t="s">
        <v>62</v>
      </c>
      <c r="C191" s="30">
        <f ca="1">IFERROR(
   COUNTIF(INDIRECT("'" &amp; LOOKUP("zzz",$A$7:A191) &amp; "'!C:C"), B191),
   0
)</f>
        <v>0</v>
      </c>
      <c r="D191" s="71" cm="1">
        <f t="array" aca="1" ref="D191" ca="1">IFERROR(
  COUNTIFS(
    INDIRECT("'" &amp; LOOKUP(2,1/($A$7:A191&lt;&gt;""),$A$7:A191) &amp; "'!C:C"), $B191,
    INDIRECT("'" &amp; LOOKUP(2,1/($A$7:A191&lt;&gt;""),$A$7:A191) &amp; "'!E:E"), "&gt;=" &amp; ($B$3-6),
    INDIRECT("'" &amp; LOOKUP(2,1/($A$7:A191&lt;&gt;""),$A$7:A191) &amp; "'!E:E"), "&lt;=" &amp; $B$3
  ),
0)</f>
        <v>0</v>
      </c>
    </row>
    <row r="192" spans="1:4" ht="50" customHeight="1" x14ac:dyDescent="0.2">
      <c r="A192" s="39"/>
      <c r="B192" s="34" t="s">
        <v>42</v>
      </c>
      <c r="C192" s="30">
        <f ca="1">IFERROR(
   COUNTIF(INDIRECT("'" &amp; LOOKUP("zzz",$A$7:A192) &amp; "'!C:C"), B192),
   0
)</f>
        <v>0</v>
      </c>
      <c r="D192" s="41" cm="1">
        <f t="array" aca="1" ref="D192" ca="1">IFERROR(
  COUNTIFS(
    INDIRECT("'" &amp; LOOKUP(2,1/($A$7:A192&lt;&gt;""),$A$7:A192) &amp; "'!C:C"), $B192,
    INDIRECT("'" &amp; LOOKUP(2,1/($A$7:A192&lt;&gt;""),$A$7:A192) &amp; "'!E:E"), "&gt;=" &amp; ($B$3-6),
    INDIRECT("'" &amp; LOOKUP(2,1/($A$7:A192&lt;&gt;""),$A$7:A192) &amp; "'!E:E"), "&lt;=" &amp; $B$3
  ),
0)</f>
        <v>0</v>
      </c>
    </row>
    <row r="193" spans="1:4" ht="50" customHeight="1" x14ac:dyDescent="0.2">
      <c r="A193" s="29"/>
      <c r="B193" s="32" t="s">
        <v>186</v>
      </c>
      <c r="C193" s="28">
        <f ca="1">IFERROR(
   COUNTIF(INDIRECT("'" &amp; LOOKUP("zzz",$A$7:A193) &amp; "'!C:C"), B193),
   0
)</f>
        <v>0</v>
      </c>
      <c r="D193" s="41" cm="1">
        <f t="array" aca="1" ref="D193" ca="1">IFERROR(
  COUNTIFS(
    INDIRECT("'" &amp; LOOKUP(2,1/($A$7:A193&lt;&gt;""),$A$7:A193) &amp; "'!C:C"), $B193,
    INDIRECT("'" &amp; LOOKUP(2,1/($A$7:A193&lt;&gt;""),$A$7:A193) &amp; "'!E:E"), "&gt;=" &amp; ($B$3-6),
    INDIRECT("'" &amp; LOOKUP(2,1/($A$7:A193&lt;&gt;""),$A$7:A193) &amp; "'!E:E"), "&lt;=" &amp; $B$3
  ),
0)</f>
        <v>0</v>
      </c>
    </row>
    <row r="194" spans="1:4" ht="50" customHeight="1" x14ac:dyDescent="0.2">
      <c r="A194" s="40"/>
      <c r="B194" s="38" t="s">
        <v>16</v>
      </c>
      <c r="C194" s="37">
        <f ca="1">IFERROR(
   COUNTIF(INDIRECT("'" &amp; LOOKUP("zzz",$A$7:A194) &amp; "'!C:C"), B194),
   0
)</f>
        <v>0</v>
      </c>
      <c r="D194" s="72" cm="1">
        <f t="array" aca="1" ref="D194" ca="1">IFERROR(
  COUNTIFS(
    INDIRECT("'" &amp; LOOKUP(2,1/($A$7:A194&lt;&gt;""),$A$7:A194) &amp; "'!C:C"), $B194,
    INDIRECT("'" &amp; LOOKUP(2,1/($A$7:A194&lt;&gt;""),$A$7:A194) &amp; "'!E:E"), "&gt;=" &amp; ($B$3-6),
    INDIRECT("'" &amp; LOOKUP(2,1/($A$7:A194&lt;&gt;""),$A$7:A194) &amp; "'!E:E"), "&lt;=" &amp; $B$3
  ),
0)</f>
        <v>0</v>
      </c>
    </row>
    <row r="195" spans="1:4" ht="50" customHeight="1" x14ac:dyDescent="0.2">
      <c r="A195" s="39" t="s">
        <v>25</v>
      </c>
      <c r="B195" s="35" t="s">
        <v>117</v>
      </c>
      <c r="C195" s="30">
        <f ca="1">IFERROR(
   COUNTIF(INDIRECT("'" &amp; LOOKUP("zzz",$A$7:A195) &amp; "'!C:C"), B195),
   0
)</f>
        <v>0</v>
      </c>
      <c r="D195" s="71" cm="1">
        <f t="array" aca="1" ref="D195" ca="1">IFERROR(
  COUNTIFS(
    INDIRECT("'" &amp; LOOKUP(2,1/($A$7:A195&lt;&gt;""),$A$7:A195) &amp; "'!C:C"), $B195,
    INDIRECT("'" &amp; LOOKUP(2,1/($A$7:A195&lt;&gt;""),$A$7:A195) &amp; "'!E:E"), "&gt;=" &amp; ($B$3-6),
    INDIRECT("'" &amp; LOOKUP(2,1/($A$7:A195&lt;&gt;""),$A$7:A195) &amp; "'!E:E"), "&lt;=" &amp; $B$3
  ),
0)</f>
        <v>0</v>
      </c>
    </row>
    <row r="196" spans="1:4" ht="50" customHeight="1" x14ac:dyDescent="0.2">
      <c r="A196" s="28"/>
      <c r="B196" s="33" t="s">
        <v>43</v>
      </c>
      <c r="C196" s="28">
        <f ca="1">IFERROR(
   COUNTIF(INDIRECT("'" &amp; LOOKUP("zzz",$A$7:A196) &amp; "'!C:C"), B196),
   0
)</f>
        <v>0</v>
      </c>
      <c r="D196" s="41" cm="1">
        <f t="array" aca="1" ref="D196" ca="1">IFERROR(
  COUNTIFS(
    INDIRECT("'" &amp; LOOKUP(2,1/($A$7:A196&lt;&gt;""),$A$7:A196) &amp; "'!C:C"), $B196,
    INDIRECT("'" &amp; LOOKUP(2,1/($A$7:A196&lt;&gt;""),$A$7:A196) &amp; "'!E:E"), "&gt;=" &amp; ($B$3-6),
    INDIRECT("'" &amp; LOOKUP(2,1/($A$7:A196&lt;&gt;""),$A$7:A196) &amp; "'!E:E"), "&lt;=" &amp; $B$3
  ),
0)</f>
        <v>0</v>
      </c>
    </row>
    <row r="197" spans="1:4" ht="50" customHeight="1" x14ac:dyDescent="0.2">
      <c r="A197" s="29"/>
      <c r="B197" s="33" t="s">
        <v>100</v>
      </c>
      <c r="C197" s="28">
        <f ca="1">IFERROR(
   COUNTIF(INDIRECT("'" &amp; LOOKUP("zzz",$A$7:A197) &amp; "'!C:C"), B197),
   0
)</f>
        <v>0</v>
      </c>
      <c r="D197" s="41" cm="1">
        <f t="array" aca="1" ref="D197" ca="1">IFERROR(
  COUNTIFS(
    INDIRECT("'" &amp; LOOKUP(2,1/($A$7:A197&lt;&gt;""),$A$7:A197) &amp; "'!C:C"), $B197,
    INDIRECT("'" &amp; LOOKUP(2,1/($A$7:A197&lt;&gt;""),$A$7:A197) &amp; "'!E:E"), "&gt;=" &amp; ($B$3-6),
    INDIRECT("'" &amp; LOOKUP(2,1/($A$7:A197&lt;&gt;""),$A$7:A197) &amp; "'!E:E"), "&lt;=" &amp; $B$3
  ),
0)</f>
        <v>0</v>
      </c>
    </row>
    <row r="198" spans="1:4" ht="50" customHeight="1" x14ac:dyDescent="0.2">
      <c r="A198" s="29"/>
      <c r="B198" s="33" t="s">
        <v>82</v>
      </c>
      <c r="C198" s="28">
        <f ca="1">IFERROR(
   COUNTIF(INDIRECT("'" &amp; LOOKUP("zzz",$A$7:A198) &amp; "'!C:C"), B198),
   0
)</f>
        <v>0</v>
      </c>
      <c r="D198" s="41" cm="1">
        <f t="array" aca="1" ref="D198" ca="1">IFERROR(
  COUNTIFS(
    INDIRECT("'" &amp; LOOKUP(2,1/($A$7:A198&lt;&gt;""),$A$7:A198) &amp; "'!C:C"), $B198,
    INDIRECT("'" &amp; LOOKUP(2,1/($A$7:A198&lt;&gt;""),$A$7:A198) &amp; "'!E:E"), "&gt;=" &amp; ($B$3-6),
    INDIRECT("'" &amp; LOOKUP(2,1/($A$7:A198&lt;&gt;""),$A$7:A198) &amp; "'!E:E"), "&lt;=" &amp; $B$3
  ),
0)</f>
        <v>0</v>
      </c>
    </row>
    <row r="199" spans="1:4" ht="50" customHeight="1" x14ac:dyDescent="0.2">
      <c r="A199" s="29"/>
      <c r="B199" s="33" t="s">
        <v>330</v>
      </c>
      <c r="C199" s="28">
        <f ca="1">IFERROR(
   COUNTIF(INDIRECT("'" &amp; LOOKUP("zzz",$A$7:A199) &amp; "'!C:C"), B199),
   0
)</f>
        <v>0</v>
      </c>
      <c r="D199" s="41" cm="1">
        <f t="array" aca="1" ref="D199" ca="1">IFERROR(
  COUNTIFS(
    INDIRECT("'" &amp; LOOKUP(2,1/($A$7:A199&lt;&gt;""),$A$7:A199) &amp; "'!C:C"), $B199,
    INDIRECT("'" &amp; LOOKUP(2,1/($A$7:A199&lt;&gt;""),$A$7:A199) &amp; "'!E:E"), "&gt;=" &amp; ($B$3-6),
    INDIRECT("'" &amp; LOOKUP(2,1/($A$7:A199&lt;&gt;""),$A$7:A199) &amp; "'!E:E"), "&lt;=" &amp; $B$3
  ),
0)</f>
        <v>0</v>
      </c>
    </row>
    <row r="200" spans="1:4" ht="50" customHeight="1" x14ac:dyDescent="0.2">
      <c r="A200" s="29"/>
      <c r="B200" s="33" t="s">
        <v>81</v>
      </c>
      <c r="C200" s="28">
        <f ca="1">IFERROR(
   COUNTIF(INDIRECT("'" &amp; LOOKUP("zzz",$A$7:A200) &amp; "'!C:C"), B200),
   0
)</f>
        <v>0</v>
      </c>
      <c r="D200" s="41" cm="1">
        <f t="array" aca="1" ref="D200" ca="1">IFERROR(
  COUNTIFS(
    INDIRECT("'" &amp; LOOKUP(2,1/($A$7:A200&lt;&gt;""),$A$7:A200) &amp; "'!C:C"), $B200,
    INDIRECT("'" &amp; LOOKUP(2,1/($A$7:A200&lt;&gt;""),$A$7:A200) &amp; "'!E:E"), "&gt;=" &amp; ($B$3-6),
    INDIRECT("'" &amp; LOOKUP(2,1/($A$7:A200&lt;&gt;""),$A$7:A200) &amp; "'!E:E"), "&lt;=" &amp; $B$3
  ),
0)</f>
        <v>0</v>
      </c>
    </row>
    <row r="201" spans="1:4" ht="50" customHeight="1" x14ac:dyDescent="0.2">
      <c r="A201" s="29"/>
      <c r="B201" s="33" t="s">
        <v>372</v>
      </c>
      <c r="C201" s="28">
        <f ca="1">IFERROR(
   COUNTIF(INDIRECT("'" &amp; LOOKUP("zzz",$A$7:A201) &amp; "'!C:C"), B201),
   0
)</f>
        <v>0</v>
      </c>
      <c r="D201" s="41" cm="1">
        <f t="array" aca="1" ref="D201" ca="1">IFERROR(
  COUNTIFS(
    INDIRECT("'" &amp; LOOKUP(2,1/($A$7:A201&lt;&gt;""),$A$7:A201) &amp; "'!C:C"), $B201,
    INDIRECT("'" &amp; LOOKUP(2,1/($A$7:A201&lt;&gt;""),$A$7:A201) &amp; "'!E:E"), "&gt;=" &amp; ($B$3-6),
    INDIRECT("'" &amp; LOOKUP(2,1/($A$7:A201&lt;&gt;""),$A$7:A201) &amp; "'!E:E"), "&lt;=" &amp; $B$3
  ),
0)</f>
        <v>0</v>
      </c>
    </row>
    <row r="202" spans="1:4" ht="50" customHeight="1" x14ac:dyDescent="0.2">
      <c r="A202" s="28"/>
      <c r="B202" s="33" t="s">
        <v>373</v>
      </c>
      <c r="C202" s="28">
        <f ca="1">IFERROR(
   COUNTIF(INDIRECT("'" &amp; LOOKUP("zzz",$A$7:A202) &amp; "'!C:C"), B202),
   0
)</f>
        <v>0</v>
      </c>
      <c r="D202" s="41" cm="1">
        <f t="array" aca="1" ref="D202" ca="1">IFERROR(
  COUNTIFS(
    INDIRECT("'" &amp; LOOKUP(2,1/($A$7:A202&lt;&gt;""),$A$7:A202) &amp; "'!C:C"), $B202,
    INDIRECT("'" &amp; LOOKUP(2,1/($A$7:A202&lt;&gt;""),$A$7:A202) &amp; "'!E:E"), "&gt;=" &amp; ($B$3-6),
    INDIRECT("'" &amp; LOOKUP(2,1/($A$7:A202&lt;&gt;""),$A$7:A202) &amp; "'!E:E"), "&lt;=" &amp; $B$3
  ),
0)</f>
        <v>0</v>
      </c>
    </row>
    <row r="203" spans="1:4" ht="50" customHeight="1" x14ac:dyDescent="0.2">
      <c r="A203" s="28"/>
      <c r="B203" s="33" t="s">
        <v>80</v>
      </c>
      <c r="C203" s="28">
        <f ca="1">IFERROR(
   COUNTIF(INDIRECT("'" &amp; LOOKUP("zzz",$A$7:A203) &amp; "'!C:C"), B203),
   0
)</f>
        <v>0</v>
      </c>
      <c r="D203" s="41" cm="1">
        <f t="array" aca="1" ref="D203" ca="1">IFERROR(
  COUNTIFS(
    INDIRECT("'" &amp; LOOKUP(2,1/($A$7:A203&lt;&gt;""),$A$7:A203) &amp; "'!C:C"), $B203,
    INDIRECT("'" &amp; LOOKUP(2,1/($A$7:A203&lt;&gt;""),$A$7:A203) &amp; "'!E:E"), "&gt;=" &amp; ($B$3-6),
    INDIRECT("'" &amp; LOOKUP(2,1/($A$7:A203&lt;&gt;""),$A$7:A203) &amp; "'!E:E"), "&lt;=" &amp; $B$3
  ),
0)</f>
        <v>0</v>
      </c>
    </row>
    <row r="204" spans="1:4" ht="50" customHeight="1" x14ac:dyDescent="0.2">
      <c r="A204" s="29"/>
      <c r="B204" s="33" t="s">
        <v>374</v>
      </c>
      <c r="C204" s="28">
        <f ca="1">IFERROR(
   COUNTIF(INDIRECT("'" &amp; LOOKUP("zzz",$A$7:A204) &amp; "'!C:C"), B204),
   0
)</f>
        <v>0</v>
      </c>
      <c r="D204" s="41" cm="1">
        <f t="array" aca="1" ref="D204" ca="1">IFERROR(
  COUNTIFS(
    INDIRECT("'" &amp; LOOKUP(2,1/($A$7:A204&lt;&gt;""),$A$7:A204) &amp; "'!C:C"), $B204,
    INDIRECT("'" &amp; LOOKUP(2,1/($A$7:A204&lt;&gt;""),$A$7:A204) &amp; "'!E:E"), "&gt;=" &amp; ($B$3-6),
    INDIRECT("'" &amp; LOOKUP(2,1/($A$7:A204&lt;&gt;""),$A$7:A204) &amp; "'!E:E"), "&lt;=" &amp; $B$3
  ),
0)</f>
        <v>0</v>
      </c>
    </row>
    <row r="205" spans="1:4" ht="50" customHeight="1" x14ac:dyDescent="0.2">
      <c r="A205" s="40"/>
      <c r="B205" s="38" t="s">
        <v>375</v>
      </c>
      <c r="C205" s="37">
        <f ca="1">IFERROR(
   COUNTIF(INDIRECT("'" &amp; LOOKUP("zzz",$A$7:A205) &amp; "'!C:C"), B205),
   0
)</f>
        <v>0</v>
      </c>
      <c r="D205" s="72" cm="1">
        <f t="array" aca="1" ref="D205" ca="1">IFERROR(
  COUNTIFS(
    INDIRECT("'" &amp; LOOKUP(2,1/($A$7:A205&lt;&gt;""),$A$7:A205) &amp; "'!C:C"), $B205,
    INDIRECT("'" &amp; LOOKUP(2,1/($A$7:A205&lt;&gt;""),$A$7:A205) &amp; "'!E:E"), "&gt;=" &amp; ($B$3-6),
    INDIRECT("'" &amp; LOOKUP(2,1/($A$7:A205&lt;&gt;""),$A$7:A205) &amp; "'!E:E"), "&lt;=" &amp; $B$3
  ),
0)</f>
        <v>0</v>
      </c>
    </row>
    <row r="206" spans="1:4" ht="50" customHeight="1" x14ac:dyDescent="0.2">
      <c r="A206" s="39" t="s">
        <v>26</v>
      </c>
      <c r="B206" s="35" t="s">
        <v>64</v>
      </c>
      <c r="C206" s="30">
        <f ca="1">IFERROR(
   COUNTIF(INDIRECT("'" &amp; LOOKUP("zzz",$A$7:A206) &amp; "'!C:C"), B206),
   0
)</f>
        <v>0</v>
      </c>
      <c r="D206" s="71" cm="1">
        <f t="array" aca="1" ref="D206" ca="1">IFERROR(
  COUNTIFS(
    INDIRECT("'" &amp; LOOKUP(2,1/($A$7:A206&lt;&gt;""),$A$7:A206) &amp; "'!C:C"), $B206,
    INDIRECT("'" &amp; LOOKUP(2,1/($A$7:A206&lt;&gt;""),$A$7:A206) &amp; "'!E:E"), "&gt;=" &amp; ($B$3-6),
    INDIRECT("'" &amp; LOOKUP(2,1/($A$7:A206&lt;&gt;""),$A$7:A206) &amp; "'!E:E"), "&lt;=" &amp; $B$3
  ),
0)</f>
        <v>0</v>
      </c>
    </row>
    <row r="207" spans="1:4" ht="50" customHeight="1" x14ac:dyDescent="0.2">
      <c r="A207" s="39"/>
      <c r="B207" s="35" t="s">
        <v>101</v>
      </c>
      <c r="C207" s="30">
        <f ca="1">IFERROR(
   COUNTIF(INDIRECT("'" &amp; LOOKUP("zzz",$A$7:A207) &amp; "'!C:C"), B207),
   0
)</f>
        <v>0</v>
      </c>
      <c r="D207" s="41" cm="1">
        <f t="array" aca="1" ref="D207" ca="1">IFERROR(
  COUNTIFS(
    INDIRECT("'" &amp; LOOKUP(2,1/($A$7:A207&lt;&gt;""),$A$7:A207) &amp; "'!C:C"), $B207,
    INDIRECT("'" &amp; LOOKUP(2,1/($A$7:A207&lt;&gt;""),$A$7:A207) &amp; "'!E:E"), "&gt;=" &amp; ($B$3-6),
    INDIRECT("'" &amp; LOOKUP(2,1/($A$7:A207&lt;&gt;""),$A$7:A207) &amp; "'!E:E"), "&lt;=" &amp; $B$3
  ),
0)</f>
        <v>0</v>
      </c>
    </row>
    <row r="208" spans="1:4" ht="50" customHeight="1" x14ac:dyDescent="0.2">
      <c r="A208" s="29"/>
      <c r="B208" s="33" t="s">
        <v>83</v>
      </c>
      <c r="C208" s="28">
        <f ca="1">IFERROR(
   COUNTIF(INDIRECT("'" &amp; LOOKUP("zzz",$A$7:A208) &amp; "'!C:C"), B208),
   0
)</f>
        <v>0</v>
      </c>
      <c r="D208" s="41" cm="1">
        <f t="array" aca="1" ref="D208" ca="1">IFERROR(
  COUNTIFS(
    INDIRECT("'" &amp; LOOKUP(2,1/($A$7:A208&lt;&gt;""),$A$7:A208) &amp; "'!C:C"), $B208,
    INDIRECT("'" &amp; LOOKUP(2,1/($A$7:A208&lt;&gt;""),$A$7:A208) &amp; "'!E:E"), "&gt;=" &amp; ($B$3-6),
    INDIRECT("'" &amp; LOOKUP(2,1/($A$7:A208&lt;&gt;""),$A$7:A208) &amp; "'!E:E"), "&lt;=" &amp; $B$3
  ),
0)</f>
        <v>0</v>
      </c>
    </row>
    <row r="209" spans="1:4" ht="50" customHeight="1" x14ac:dyDescent="0.2">
      <c r="A209" s="29"/>
      <c r="B209" s="33" t="s">
        <v>44</v>
      </c>
      <c r="C209" s="28">
        <f ca="1">IFERROR(
   COUNTIF(INDIRECT("'" &amp; LOOKUP("zzz",$A$7:A209) &amp; "'!C:C"), B209),
   0
)</f>
        <v>0</v>
      </c>
      <c r="D209" s="41" cm="1">
        <f t="array" aca="1" ref="D209" ca="1">IFERROR(
  COUNTIFS(
    INDIRECT("'" &amp; LOOKUP(2,1/($A$7:A209&lt;&gt;""),$A$7:A209) &amp; "'!C:C"), $B209,
    INDIRECT("'" &amp; LOOKUP(2,1/($A$7:A209&lt;&gt;""),$A$7:A209) &amp; "'!E:E"), "&gt;=" &amp; ($B$3-6),
    INDIRECT("'" &amp; LOOKUP(2,1/($A$7:A209&lt;&gt;""),$A$7:A209) &amp; "'!E:E"), "&lt;=" &amp; $B$3
  ),
0)</f>
        <v>0</v>
      </c>
    </row>
    <row r="210" spans="1:4" ht="50" customHeight="1" x14ac:dyDescent="0.2">
      <c r="A210" s="40"/>
      <c r="B210" s="38" t="s">
        <v>376</v>
      </c>
      <c r="C210" s="37">
        <f ca="1">IFERROR(
   COUNTIF(INDIRECT("'" &amp; LOOKUP("zzz",$A$7:A210) &amp; "'!C:C"), B210),
   0
)</f>
        <v>0</v>
      </c>
      <c r="D210" s="72" cm="1">
        <f t="array" aca="1" ref="D210" ca="1">IFERROR(
  COUNTIFS(
    INDIRECT("'" &amp; LOOKUP(2,1/($A$7:A210&lt;&gt;""),$A$7:A210) &amp; "'!C:C"), $B210,
    INDIRECT("'" &amp; LOOKUP(2,1/($A$7:A210&lt;&gt;""),$A$7:A210) &amp; "'!E:E"), "&gt;=" &amp; ($B$3-6),
    INDIRECT("'" &amp; LOOKUP(2,1/($A$7:A210&lt;&gt;""),$A$7:A210) &amp; "'!E:E"), "&lt;=" &amp; $B$3
  ),
0)</f>
        <v>0</v>
      </c>
    </row>
    <row r="211" spans="1:4" ht="50" customHeight="1" x14ac:dyDescent="0.2">
      <c r="A211" s="30" t="s">
        <v>204</v>
      </c>
      <c r="B211" s="35" t="s">
        <v>226</v>
      </c>
      <c r="C211" s="30">
        <f ca="1">IFERROR(
   COUNTIF(INDIRECT("'" &amp; LOOKUP("zzz",$A$7:A211) &amp; "'!C:C"), B211),
   0
)</f>
        <v>0</v>
      </c>
      <c r="D211" s="71" cm="1">
        <f t="array" aca="1" ref="D211" ca="1">IFERROR(
  COUNTIFS(
    INDIRECT("'" &amp; LOOKUP(2,1/($A$7:A211&lt;&gt;""),$A$7:A211) &amp; "'!C:C"), $B211,
    INDIRECT("'" &amp; LOOKUP(2,1/($A$7:A211&lt;&gt;""),$A$7:A211) &amp; "'!E:E"), "&gt;=" &amp; ($B$3-6),
    INDIRECT("'" &amp; LOOKUP(2,1/($A$7:A211&lt;&gt;""),$A$7:A211) &amp; "'!E:E"), "&lt;=" &amp; $B$3
  ),
0)</f>
        <v>0</v>
      </c>
    </row>
    <row r="212" spans="1:4" ht="50" customHeight="1" x14ac:dyDescent="0.2">
      <c r="A212" s="29"/>
      <c r="B212" s="33" t="s">
        <v>227</v>
      </c>
      <c r="C212" s="28">
        <f ca="1">IFERROR(
   COUNTIF(INDIRECT("'" &amp; LOOKUP("zzz",$A$7:A212) &amp; "'!C:C"), B212),
   0
)</f>
        <v>0</v>
      </c>
      <c r="D212" s="41" cm="1">
        <f t="array" aca="1" ref="D212" ca="1">IFERROR(
  COUNTIFS(
    INDIRECT("'" &amp; LOOKUP(2,1/($A$7:A212&lt;&gt;""),$A$7:A212) &amp; "'!C:C"), $B212,
    INDIRECT("'" &amp; LOOKUP(2,1/($A$7:A212&lt;&gt;""),$A$7:A212) &amp; "'!E:E"), "&gt;=" &amp; ($B$3-6),
    INDIRECT("'" &amp; LOOKUP(2,1/($A$7:A212&lt;&gt;""),$A$7:A212) &amp; "'!E:E"), "&lt;=" &amp; $B$3
  ),
0)</f>
        <v>0</v>
      </c>
    </row>
    <row r="213" spans="1:4" ht="50" customHeight="1" x14ac:dyDescent="0.2">
      <c r="A213" s="28"/>
      <c r="B213" s="32" t="s">
        <v>228</v>
      </c>
      <c r="C213" s="28">
        <f ca="1">IFERROR(
   COUNTIF(INDIRECT("'" &amp; LOOKUP("zzz",$A$7:A213) &amp; "'!C:C"), B213),
   0
)</f>
        <v>0</v>
      </c>
      <c r="D213" s="41" cm="1">
        <f t="array" aca="1" ref="D213" ca="1">IFERROR(
  COUNTIFS(
    INDIRECT("'" &amp; LOOKUP(2,1/($A$7:A213&lt;&gt;""),$A$7:A213) &amp; "'!C:C"), $B213,
    INDIRECT("'" &amp; LOOKUP(2,1/($A$7:A213&lt;&gt;""),$A$7:A213) &amp; "'!E:E"), "&gt;=" &amp; ($B$3-6),
    INDIRECT("'" &amp; LOOKUP(2,1/($A$7:A213&lt;&gt;""),$A$7:A213) &amp; "'!E:E"), "&lt;=" &amp; $B$3
  ),
0)</f>
        <v>0</v>
      </c>
    </row>
    <row r="214" spans="1:4" ht="50" customHeight="1" x14ac:dyDescent="0.2">
      <c r="A214" s="29"/>
      <c r="B214" s="32" t="s">
        <v>194</v>
      </c>
      <c r="C214" s="28">
        <f ca="1">IFERROR(
   COUNTIF(INDIRECT("'" &amp; LOOKUP("zzz",$A$7:A214) &amp; "'!C:C"), B214),
   0
)</f>
        <v>0</v>
      </c>
      <c r="D214" s="41" cm="1">
        <f t="array" aca="1" ref="D214" ca="1">IFERROR(
  COUNTIFS(
    INDIRECT("'" &amp; LOOKUP(2,1/($A$7:A214&lt;&gt;""),$A$7:A214) &amp; "'!C:C"), $B214,
    INDIRECT("'" &amp; LOOKUP(2,1/($A$7:A214&lt;&gt;""),$A$7:A214) &amp; "'!E:E"), "&gt;=" &amp; ($B$3-6),
    INDIRECT("'" &amp; LOOKUP(2,1/($A$7:A214&lt;&gt;""),$A$7:A214) &amp; "'!E:E"), "&lt;=" &amp; $B$3
  ),
0)</f>
        <v>0</v>
      </c>
    </row>
    <row r="215" spans="1:4" ht="50" customHeight="1" x14ac:dyDescent="0.2">
      <c r="A215" s="29"/>
      <c r="B215" s="32" t="s">
        <v>45</v>
      </c>
      <c r="C215" s="28">
        <f ca="1">IFERROR(
   COUNTIF(INDIRECT("'" &amp; LOOKUP("zzz",$A$7:A215) &amp; "'!C:C"), B215),
   0
)</f>
        <v>0</v>
      </c>
      <c r="D215" s="41" cm="1">
        <f t="array" aca="1" ref="D215" ca="1">IFERROR(
  COUNTIFS(
    INDIRECT("'" &amp; LOOKUP(2,1/($A$7:A215&lt;&gt;""),$A$7:A215) &amp; "'!C:C"), $B215,
    INDIRECT("'" &amp; LOOKUP(2,1/($A$7:A215&lt;&gt;""),$A$7:A215) &amp; "'!E:E"), "&gt;=" &amp; ($B$3-6),
    INDIRECT("'" &amp; LOOKUP(2,1/($A$7:A215&lt;&gt;""),$A$7:A215) &amp; "'!E:E"), "&lt;=" &amp; $B$3
  ),
0)</f>
        <v>0</v>
      </c>
    </row>
    <row r="216" spans="1:4" ht="50" customHeight="1" x14ac:dyDescent="0.2">
      <c r="A216" s="29"/>
      <c r="B216" s="32" t="s">
        <v>118</v>
      </c>
      <c r="C216" s="28">
        <f ca="1">IFERROR(
   COUNTIF(INDIRECT("'" &amp; LOOKUP("zzz",$A$7:A216) &amp; "'!C:C"), B216),
   0
)</f>
        <v>0</v>
      </c>
      <c r="D216" s="41" cm="1">
        <f t="array" aca="1" ref="D216" ca="1">IFERROR(
  COUNTIFS(
    INDIRECT("'" &amp; LOOKUP(2,1/($A$7:A216&lt;&gt;""),$A$7:A216) &amp; "'!C:C"), $B216,
    INDIRECT("'" &amp; LOOKUP(2,1/($A$7:A216&lt;&gt;""),$A$7:A216) &amp; "'!E:E"), "&gt;=" &amp; ($B$3-6),
    INDIRECT("'" &amp; LOOKUP(2,1/($A$7:A216&lt;&gt;""),$A$7:A216) &amp; "'!E:E"), "&lt;=" &amp; $B$3
  ),
0)</f>
        <v>0</v>
      </c>
    </row>
    <row r="217" spans="1:4" ht="50" customHeight="1" x14ac:dyDescent="0.2">
      <c r="A217" s="29"/>
      <c r="B217" s="32" t="s">
        <v>65</v>
      </c>
      <c r="C217" s="28">
        <f ca="1">IFERROR(
   COUNTIF(INDIRECT("'" &amp; LOOKUP("zzz",$A$7:A217) &amp; "'!C:C"), B217),
   0
)</f>
        <v>0</v>
      </c>
      <c r="D217" s="41" cm="1">
        <f t="array" aca="1" ref="D217" ca="1">IFERROR(
  COUNTIFS(
    INDIRECT("'" &amp; LOOKUP(2,1/($A$7:A217&lt;&gt;""),$A$7:A217) &amp; "'!C:C"), $B217,
    INDIRECT("'" &amp; LOOKUP(2,1/($A$7:A217&lt;&gt;""),$A$7:A217) &amp; "'!E:E"), "&gt;=" &amp; ($B$3-6),
    INDIRECT("'" &amp; LOOKUP(2,1/($A$7:A217&lt;&gt;""),$A$7:A217) &amp; "'!E:E"), "&lt;=" &amp; $B$3
  ),
0)</f>
        <v>0</v>
      </c>
    </row>
    <row r="218" spans="1:4" ht="50" customHeight="1" x14ac:dyDescent="0.2">
      <c r="A218" s="29"/>
      <c r="B218" s="32" t="s">
        <v>102</v>
      </c>
      <c r="C218" s="28">
        <f ca="1">IFERROR(
   COUNTIF(INDIRECT("'" &amp; LOOKUP("zzz",$A$7:A218) &amp; "'!C:C"), B218),
   0
)</f>
        <v>0</v>
      </c>
      <c r="D218" s="41" cm="1">
        <f t="array" aca="1" ref="D218" ca="1">IFERROR(
  COUNTIFS(
    INDIRECT("'" &amp; LOOKUP(2,1/($A$7:A218&lt;&gt;""),$A$7:A218) &amp; "'!C:C"), $B218,
    INDIRECT("'" &amp; LOOKUP(2,1/($A$7:A218&lt;&gt;""),$A$7:A218) &amp; "'!E:E"), "&gt;=" &amp; ($B$3-6),
    INDIRECT("'" &amp; LOOKUP(2,1/($A$7:A218&lt;&gt;""),$A$7:A218) &amp; "'!E:E"), "&lt;=" &amp; $B$3
  ),
0)</f>
        <v>0</v>
      </c>
    </row>
    <row r="219" spans="1:4" ht="50" customHeight="1" x14ac:dyDescent="0.2">
      <c r="A219" s="29"/>
      <c r="B219" s="32" t="s">
        <v>84</v>
      </c>
      <c r="C219" s="28">
        <f ca="1">IFERROR(
   COUNTIF(INDIRECT("'" &amp; LOOKUP("zzz",$A$7:A219) &amp; "'!C:C"), B219),
   0
)</f>
        <v>0</v>
      </c>
      <c r="D219" s="41" cm="1">
        <f t="array" aca="1" ref="D219" ca="1">IFERROR(
  COUNTIFS(
    INDIRECT("'" &amp; LOOKUP(2,1/($A$7:A219&lt;&gt;""),$A$7:A219) &amp; "'!C:C"), $B219,
    INDIRECT("'" &amp; LOOKUP(2,1/($A$7:A219&lt;&gt;""),$A$7:A219) &amp; "'!E:E"), "&gt;=" &amp; ($B$3-6),
    INDIRECT("'" &amp; LOOKUP(2,1/($A$7:A219&lt;&gt;""),$A$7:A219) &amp; "'!E:E"), "&lt;=" &amp; $B$3
  ),
0)</f>
        <v>0</v>
      </c>
    </row>
    <row r="220" spans="1:4" ht="50" customHeight="1" x14ac:dyDescent="0.2">
      <c r="A220" s="60"/>
      <c r="B220" s="61" t="s">
        <v>129</v>
      </c>
      <c r="C220" s="43">
        <f ca="1">IFERROR(
   COUNTIF(INDIRECT("'" &amp; LOOKUP("zzz",$A$7:A220) &amp; "'!C:C"), B220),
   0
)</f>
        <v>0</v>
      </c>
      <c r="D220" s="72" cm="1">
        <f t="array" aca="1" ref="D220" ca="1">IFERROR(
  COUNTIFS(
    INDIRECT("'" &amp; LOOKUP(2,1/($A$7:A220&lt;&gt;""),$A$7:A220) &amp; "'!C:C"), $B220,
    INDIRECT("'" &amp; LOOKUP(2,1/($A$7:A220&lt;&gt;""),$A$7:A220) &amp; "'!E:E"), "&gt;=" &amp; ($B$3-6),
    INDIRECT("'" &amp; LOOKUP(2,1/($A$7:A220&lt;&gt;""),$A$7:A220) &amp; "'!E:E"), "&lt;=" &amp; $B$3
  ),
0)</f>
        <v>0</v>
      </c>
    </row>
    <row r="221" spans="1:4" ht="50" customHeight="1" x14ac:dyDescent="0.2">
      <c r="A221" s="28"/>
      <c r="B221" s="32" t="s">
        <v>377</v>
      </c>
      <c r="C221" s="28">
        <f ca="1">IFERROR(
   COUNTIF(INDIRECT("'" &amp; LOOKUP("zzz",$A$7:A221) &amp; "'!C:C"), B221),
   0
)</f>
        <v>0</v>
      </c>
      <c r="D221" s="41" cm="1">
        <f t="array" aca="1" ref="D221" ca="1">IFERROR(
  COUNTIFS(
    INDIRECT("'" &amp; LOOKUP(2,1/($A$7:A221&lt;&gt;""),$A$7:A221) &amp; "'!C:C"), $B221,
    INDIRECT("'" &amp; LOOKUP(2,1/($A$7:A221&lt;&gt;""),$A$7:A221) &amp; "'!E:E"), "&gt;=" &amp; ($B$3-6),
    INDIRECT("'" &amp; LOOKUP(2,1/($A$7:A221&lt;&gt;""),$A$7:A221) &amp; "'!E:E"), "&lt;=" &amp; $B$3
  ),
0)</f>
        <v>0</v>
      </c>
    </row>
    <row r="222" spans="1:4" ht="50" customHeight="1" x14ac:dyDescent="0.2">
      <c r="A222" s="28"/>
      <c r="B222" s="32" t="s">
        <v>378</v>
      </c>
      <c r="C222" s="28">
        <f ca="1">IFERROR(
   COUNTIF(INDIRECT("'" &amp; LOOKUP("zzz",$A$7:A222) &amp; "'!C:C"), B222),
   0
)</f>
        <v>0</v>
      </c>
      <c r="D222" s="41" cm="1">
        <f t="array" aca="1" ref="D222" ca="1">IFERROR(
  COUNTIFS(
    INDIRECT("'" &amp; LOOKUP(2,1/($A$7:A222&lt;&gt;""),$A$7:A222) &amp; "'!C:C"), $B222,
    INDIRECT("'" &amp; LOOKUP(2,1/($A$7:A222&lt;&gt;""),$A$7:A222) &amp; "'!E:E"), "&gt;=" &amp; ($B$3-6),
    INDIRECT("'" &amp; LOOKUP(2,1/($A$7:A222&lt;&gt;""),$A$7:A222) &amp; "'!E:E"), "&lt;=" &amp; $B$3
  ),
0)</f>
        <v>0</v>
      </c>
    </row>
    <row r="223" spans="1:4" ht="50" customHeight="1" x14ac:dyDescent="0.2">
      <c r="A223" s="52"/>
      <c r="B223" s="55" t="s">
        <v>379</v>
      </c>
      <c r="C223" s="52">
        <f ca="1">IFERROR(
   COUNTIF(INDIRECT("'" &amp; LOOKUP("zzz",$A$7:A223) &amp; "'!C:C"), B223),
   0
)</f>
        <v>0</v>
      </c>
      <c r="D223" s="72" cm="1">
        <f t="array" aca="1" ref="D223" ca="1">IFERROR(
  COUNTIFS(
    INDIRECT("'" &amp; LOOKUP(2,1/($A$7:A223&lt;&gt;""),$A$7:A223) &amp; "'!C:C"), $B223,
    INDIRECT("'" &amp; LOOKUP(2,1/($A$7:A223&lt;&gt;""),$A$7:A223) &amp; "'!E:E"), "&gt;=" &amp; ($B$3-6),
    INDIRECT("'" &amp; LOOKUP(2,1/($A$7:A223&lt;&gt;""),$A$7:A223) &amp; "'!E:E"), "&lt;=" &amp; $B$3
  ),
0)</f>
        <v>0</v>
      </c>
    </row>
    <row r="224" spans="1:4" ht="50" customHeight="1" x14ac:dyDescent="0.2">
      <c r="A224" s="39" t="s">
        <v>39</v>
      </c>
      <c r="B224" s="35" t="s">
        <v>85</v>
      </c>
      <c r="C224" s="30">
        <f ca="1">IFERROR(
   COUNTIF(INDIRECT("'" &amp; LOOKUP("zzz",$A$7:A224) &amp; "'!C:C"), B224),
   0
)</f>
        <v>0</v>
      </c>
      <c r="D224" s="71" cm="1">
        <f t="array" aca="1" ref="D224" ca="1">IFERROR(
  COUNTIFS(
    INDIRECT("'" &amp; LOOKUP(2,1/($A$7:A224&lt;&gt;""),$A$7:A224) &amp; "'!C:C"), $B224,
    INDIRECT("'" &amp; LOOKUP(2,1/($A$7:A224&lt;&gt;""),$A$7:A224) &amp; "'!E:E"), "&gt;=" &amp; ($B$3-6),
    INDIRECT("'" &amp; LOOKUP(2,1/($A$7:A224&lt;&gt;""),$A$7:A224) &amp; "'!E:E"), "&lt;=" &amp; $B$3
  ),
0)</f>
        <v>0</v>
      </c>
    </row>
    <row r="225" spans="1:4" ht="50" customHeight="1" x14ac:dyDescent="0.2">
      <c r="A225" s="28"/>
      <c r="B225" s="33" t="s">
        <v>103</v>
      </c>
      <c r="C225" s="28">
        <f ca="1">IFERROR(
   COUNTIF(INDIRECT("'" &amp; LOOKUP("zzz",$A$7:A225) &amp; "'!C:C"), B225),
   0
)</f>
        <v>0</v>
      </c>
      <c r="D225" s="41" cm="1">
        <f t="array" aca="1" ref="D225" ca="1">IFERROR(
  COUNTIFS(
    INDIRECT("'" &amp; LOOKUP(2,1/($A$7:A225&lt;&gt;""),$A$7:A225) &amp; "'!C:C"), $B225,
    INDIRECT("'" &amp; LOOKUP(2,1/($A$7:A225&lt;&gt;""),$A$7:A225) &amp; "'!E:E"), "&gt;=" &amp; ($B$3-6),
    INDIRECT("'" &amp; LOOKUP(2,1/($A$7:A225&lt;&gt;""),$A$7:A225) &amp; "'!E:E"), "&lt;=" &amp; $B$3
  ),
0)</f>
        <v>0</v>
      </c>
    </row>
    <row r="226" spans="1:4" ht="50" customHeight="1" x14ac:dyDescent="0.2">
      <c r="A226" s="28"/>
      <c r="B226" s="33" t="s">
        <v>66</v>
      </c>
      <c r="C226" s="28">
        <f ca="1">IFERROR(
   COUNTIF(INDIRECT("'" &amp; LOOKUP("zzz",$A$7:A226) &amp; "'!C:C"), B226),
   0
)</f>
        <v>0</v>
      </c>
      <c r="D226" s="41" cm="1">
        <f t="array" aca="1" ref="D226" ca="1">IFERROR(
  COUNTIFS(
    INDIRECT("'" &amp; LOOKUP(2,1/($A$7:A226&lt;&gt;""),$A$7:A226) &amp; "'!C:C"), $B226,
    INDIRECT("'" &amp; LOOKUP(2,1/($A$7:A226&lt;&gt;""),$A$7:A226) &amp; "'!E:E"), "&gt;=" &amp; ($B$3-6),
    INDIRECT("'" &amp; LOOKUP(2,1/($A$7:A226&lt;&gt;""),$A$7:A226) &amp; "'!E:E"), "&lt;=" &amp; $B$3
  ),
0)</f>
        <v>0</v>
      </c>
    </row>
    <row r="227" spans="1:4" ht="50" customHeight="1" x14ac:dyDescent="0.2">
      <c r="A227" s="28"/>
      <c r="B227" s="33" t="s">
        <v>46</v>
      </c>
      <c r="C227" s="28">
        <f ca="1">IFERROR(
   COUNTIF(INDIRECT("'" &amp; LOOKUP("zzz",$A$7:A227) &amp; "'!C:C"), B227),
   0
)</f>
        <v>0</v>
      </c>
      <c r="D227" s="41" cm="1">
        <f t="array" aca="1" ref="D227" ca="1">IFERROR(
  COUNTIFS(
    INDIRECT("'" &amp; LOOKUP(2,1/($A$7:A227&lt;&gt;""),$A$7:A227) &amp; "'!C:C"), $B227,
    INDIRECT("'" &amp; LOOKUP(2,1/($A$7:A227&lt;&gt;""),$A$7:A227) &amp; "'!E:E"), "&gt;=" &amp; ($B$3-6),
    INDIRECT("'" &amp; LOOKUP(2,1/($A$7:A227&lt;&gt;""),$A$7:A227) &amp; "'!E:E"), "&lt;=" &amp; $B$3
  ),
0)</f>
        <v>0</v>
      </c>
    </row>
    <row r="228" spans="1:4" ht="50" customHeight="1" x14ac:dyDescent="0.2">
      <c r="A228" s="28"/>
      <c r="B228" s="33" t="s">
        <v>331</v>
      </c>
      <c r="C228" s="28">
        <f ca="1">IFERROR(
   COUNTIF(INDIRECT("'" &amp; LOOKUP("zzz",$A$7:A228) &amp; "'!C:C"), B228),
   0
)</f>
        <v>0</v>
      </c>
      <c r="D228" s="41" cm="1">
        <f t="array" aca="1" ref="D228" ca="1">IFERROR(
  COUNTIFS(
    INDIRECT("'" &amp; LOOKUP(2,1/($A$7:A228&lt;&gt;""),$A$7:A228) &amp; "'!C:C"), $B228,
    INDIRECT("'" &amp; LOOKUP(2,1/($A$7:A228&lt;&gt;""),$A$7:A228) &amp; "'!E:E"), "&gt;=" &amp; ($B$3-6),
    INDIRECT("'" &amp; LOOKUP(2,1/($A$7:A228&lt;&gt;""),$A$7:A228) &amp; "'!E:E"), "&lt;=" &amp; $B$3
  ),
0)</f>
        <v>0</v>
      </c>
    </row>
    <row r="229" spans="1:4" ht="50" customHeight="1" x14ac:dyDescent="0.2">
      <c r="A229" s="29"/>
      <c r="B229" s="33" t="s">
        <v>333</v>
      </c>
      <c r="C229" s="28">
        <f ca="1">IFERROR(
   COUNTIF(INDIRECT("'" &amp; LOOKUP("zzz",$A$7:A229) &amp; "'!C:C"), B229),
   0
)</f>
        <v>0</v>
      </c>
      <c r="D229" s="41" cm="1">
        <f t="array" aca="1" ref="D229" ca="1">IFERROR(
  COUNTIFS(
    INDIRECT("'" &amp; LOOKUP(2,1/($A$7:A229&lt;&gt;""),$A$7:A229) &amp; "'!C:C"), $B229,
    INDIRECT("'" &amp; LOOKUP(2,1/($A$7:A229&lt;&gt;""),$A$7:A229) &amp; "'!E:E"), "&gt;=" &amp; ($B$3-6),
    INDIRECT("'" &amp; LOOKUP(2,1/($A$7:A229&lt;&gt;""),$A$7:A229) &amp; "'!E:E"), "&lt;=" &amp; $B$3
  ),
0)</f>
        <v>0</v>
      </c>
    </row>
    <row r="230" spans="1:4" ht="50" customHeight="1" x14ac:dyDescent="0.2">
      <c r="A230" s="37"/>
      <c r="B230" s="38" t="s">
        <v>332</v>
      </c>
      <c r="C230" s="37">
        <f ca="1">IFERROR(
   COUNTIF(INDIRECT("'" &amp; LOOKUP("zzz",$A$7:A230) &amp; "'!C:C"), B230),
   0
)</f>
        <v>0</v>
      </c>
      <c r="D230" s="72" cm="1">
        <f t="array" aca="1" ref="D230" ca="1">IFERROR(
  COUNTIFS(
    INDIRECT("'" &amp; LOOKUP(2,1/($A$7:A230&lt;&gt;""),$A$7:A230) &amp; "'!C:C"), $B230,
    INDIRECT("'" &amp; LOOKUP(2,1/($A$7:A230&lt;&gt;""),$A$7:A230) &amp; "'!E:E"), "&gt;=" &amp; ($B$3-6),
    INDIRECT("'" &amp; LOOKUP(2,1/($A$7:A230&lt;&gt;""),$A$7:A230) &amp; "'!E:E"), "&lt;=" &amp; $B$3
  ),
0)</f>
        <v>0</v>
      </c>
    </row>
    <row r="231" spans="1:4" ht="50" customHeight="1" x14ac:dyDescent="0.2">
      <c r="A231" s="39" t="s">
        <v>351</v>
      </c>
      <c r="B231" s="35" t="s">
        <v>47</v>
      </c>
      <c r="C231" s="30">
        <f ca="1">IFERROR(
   COUNTIF(INDIRECT("'" &amp; LOOKUP("zzz",$A$7:A231) &amp; "'!C:C"), B231),
   0
)</f>
        <v>0</v>
      </c>
      <c r="D231" s="71" cm="1">
        <f t="array" aca="1" ref="D231" ca="1">IFERROR(
  COUNTIFS(
    INDIRECT("'" &amp; LOOKUP(2,1/($A$7:A231&lt;&gt;""),$A$7:A231) &amp; "'!C:C"), $B231,
    INDIRECT("'" &amp; LOOKUP(2,1/($A$7:A231&lt;&gt;""),$A$7:A231) &amp; "'!E:E"), "&gt;=" &amp; ($B$3-6),
    INDIRECT("'" &amp; LOOKUP(2,1/($A$7:A231&lt;&gt;""),$A$7:A231) &amp; "'!E:E"), "&lt;=" &amp; $B$3
  ),
0)</f>
        <v>0</v>
      </c>
    </row>
    <row r="232" spans="1:4" ht="50" customHeight="1" x14ac:dyDescent="0.2">
      <c r="A232" s="29"/>
      <c r="B232" s="33" t="s">
        <v>67</v>
      </c>
      <c r="C232" s="28">
        <f ca="1">IFERROR(
   COUNTIF(INDIRECT("'" &amp; LOOKUP("zzz",$A$7:A232) &amp; "'!C:C"), B232),
   0
)</f>
        <v>0</v>
      </c>
      <c r="D232" s="41" cm="1">
        <f t="array" aca="1" ref="D232" ca="1">IFERROR(
  COUNTIFS(
    INDIRECT("'" &amp; LOOKUP(2,1/($A$7:A232&lt;&gt;""),$A$7:A232) &amp; "'!C:C"), $B232,
    INDIRECT("'" &amp; LOOKUP(2,1/($A$7:A232&lt;&gt;""),$A$7:A232) &amp; "'!E:E"), "&gt;=" &amp; ($B$3-6),
    INDIRECT("'" &amp; LOOKUP(2,1/($A$7:A232&lt;&gt;""),$A$7:A232) &amp; "'!E:E"), "&lt;=" &amp; $B$3
  ),
0)</f>
        <v>0</v>
      </c>
    </row>
    <row r="233" spans="1:4" ht="50" customHeight="1" x14ac:dyDescent="0.2">
      <c r="A233" s="29"/>
      <c r="B233" s="33" t="s">
        <v>86</v>
      </c>
      <c r="C233" s="28">
        <f ca="1">IFERROR(
   COUNTIF(INDIRECT("'" &amp; LOOKUP("zzz",$A$7:A233) &amp; "'!C:C"), B233),
   0
)</f>
        <v>0</v>
      </c>
      <c r="D233" s="41" cm="1">
        <f t="array" aca="1" ref="D233" ca="1">IFERROR(
  COUNTIFS(
    INDIRECT("'" &amp; LOOKUP(2,1/($A$7:A233&lt;&gt;""),$A$7:A233) &amp; "'!C:C"), $B233,
    INDIRECT("'" &amp; LOOKUP(2,1/($A$7:A233&lt;&gt;""),$A$7:A233) &amp; "'!E:E"), "&gt;=" &amp; ($B$3-6),
    INDIRECT("'" &amp; LOOKUP(2,1/($A$7:A233&lt;&gt;""),$A$7:A233) &amp; "'!E:E"), "&lt;=" &amp; $B$3
  ),
0)</f>
        <v>0</v>
      </c>
    </row>
    <row r="234" spans="1:4" ht="50" customHeight="1" x14ac:dyDescent="0.2">
      <c r="A234" s="40"/>
      <c r="B234" s="38" t="s">
        <v>104</v>
      </c>
      <c r="C234" s="37">
        <f ca="1">IFERROR(
   COUNTIF(INDIRECT("'" &amp; LOOKUP("zzz",$A$7:A234) &amp; "'!C:C"), B234),
   0
)</f>
        <v>0</v>
      </c>
      <c r="D234" s="72" cm="1">
        <f t="array" aca="1" ref="D234" ca="1">IFERROR(
  COUNTIFS(
    INDIRECT("'" &amp; LOOKUP(2,1/($A$7:A234&lt;&gt;""),$A$7:A234) &amp; "'!C:C"), $B234,
    INDIRECT("'" &amp; LOOKUP(2,1/($A$7:A234&lt;&gt;""),$A$7:A234) &amp; "'!E:E"), "&gt;=" &amp; ($B$3-6),
    INDIRECT("'" &amp; LOOKUP(2,1/($A$7:A234&lt;&gt;""),$A$7:A234) &amp; "'!E:E"), "&lt;=" &amp; $B$3
  ),
0)</f>
        <v>0</v>
      </c>
    </row>
    <row r="235" spans="1:4" ht="50" customHeight="1" x14ac:dyDescent="0.2">
      <c r="A235" s="29" t="s">
        <v>350</v>
      </c>
      <c r="B235" s="35" t="s">
        <v>358</v>
      </c>
      <c r="C235" s="30">
        <f ca="1">IFERROR(
   COUNTIF(INDIRECT("'" &amp; LOOKUP("zzz",$A$7:A235) &amp; "'!C:C"), B235),
   0
)</f>
        <v>0</v>
      </c>
      <c r="D235" s="84" cm="1">
        <f t="array" aca="1" ref="D235" ca="1">IFERROR(
  COUNTIFS(
    INDIRECT("'" &amp; LOOKUP(2,1/($A$7:A235&lt;&gt;""),$A$7:A235) &amp; "'!C:C"), $B235,
    INDIRECT("'" &amp; LOOKUP(2,1/($A$7:A235&lt;&gt;""),$A$7:A235) &amp; "'!E:E"), "&gt;=" &amp; ($B$3-6),
    INDIRECT("'" &amp; LOOKUP(2,1/($A$7:A235&lt;&gt;""),$A$7:A235) &amp; "'!E:E"), "&lt;=" &amp; $B$3
  ),
0)</f>
        <v>0</v>
      </c>
    </row>
    <row r="236" spans="1:4" ht="50" customHeight="1" x14ac:dyDescent="0.2">
      <c r="A236" s="39"/>
      <c r="B236" s="35" t="s">
        <v>357</v>
      </c>
      <c r="C236" s="30">
        <f ca="1">IFERROR(
   COUNTIF(INDIRECT("'" &amp; LOOKUP("zzz",$A$7:A236) &amp; "'!C:C"), B236),
   0
)</f>
        <v>0</v>
      </c>
      <c r="D236" s="42" cm="1">
        <f t="array" aca="1" ref="D236" ca="1">IFERROR(
  COUNTIFS(
    INDIRECT("'" &amp; LOOKUP(2,1/($A$7:A236&lt;&gt;""),$A$7:A236) &amp; "'!C:C"), $B236,
    INDIRECT("'" &amp; LOOKUP(2,1/($A$7:A236&lt;&gt;""),$A$7:A236) &amp; "'!E:E"), "&gt;=" &amp; ($B$3-6),
    INDIRECT("'" &amp; LOOKUP(2,1/($A$7:A236&lt;&gt;""),$A$7:A236) &amp; "'!E:E"), "&lt;=" &amp; $B$3
  ),
0)</f>
        <v>0</v>
      </c>
    </row>
    <row r="237" spans="1:4" ht="50" customHeight="1" x14ac:dyDescent="0.2">
      <c r="A237" s="39"/>
      <c r="B237" s="35" t="s">
        <v>356</v>
      </c>
      <c r="C237" s="30">
        <f ca="1">IFERROR(
   COUNTIF(INDIRECT("'" &amp; LOOKUP("zzz",$A$7:A237) &amp; "'!C:C"), B237),
   0
)</f>
        <v>0</v>
      </c>
      <c r="D237" s="42" cm="1">
        <f t="array" aca="1" ref="D237" ca="1">IFERROR(
  COUNTIFS(
    INDIRECT("'" &amp; LOOKUP(2,1/($A$7:A237&lt;&gt;""),$A$7:A237) &amp; "'!C:C"), $B237,
    INDIRECT("'" &amp; LOOKUP(2,1/($A$7:A237&lt;&gt;""),$A$7:A237) &amp; "'!E:E"), "&gt;=" &amp; ($B$3-6),
    INDIRECT("'" &amp; LOOKUP(2,1/($A$7:A237&lt;&gt;""),$A$7:A237) &amp; "'!E:E"), "&lt;=" &amp; $B$3
  ),
0)</f>
        <v>0</v>
      </c>
    </row>
    <row r="238" spans="1:4" ht="50" customHeight="1" x14ac:dyDescent="0.2">
      <c r="A238" s="39"/>
      <c r="B238" s="35" t="s">
        <v>269</v>
      </c>
      <c r="C238" s="30">
        <f ca="1">IFERROR(
   COUNTIF(INDIRECT("'" &amp; LOOKUP("zzz",$A$7:A238) &amp; "'!C:C"), B238),
   0
)</f>
        <v>0</v>
      </c>
      <c r="D238" s="42" cm="1">
        <f t="array" aca="1" ref="D238" ca="1">IFERROR(
  COUNTIFS(
    INDIRECT("'" &amp; LOOKUP(2,1/($A$7:A238&lt;&gt;""),$A$7:A238) &amp; "'!C:C"), $B238,
    INDIRECT("'" &amp; LOOKUP(2,1/($A$7:A238&lt;&gt;""),$A$7:A238) &amp; "'!E:E"), "&gt;=" &amp; ($B$3-6),
    INDIRECT("'" &amp; LOOKUP(2,1/($A$7:A238&lt;&gt;""),$A$7:A238) &amp; "'!E:E"), "&lt;=" &amp; $B$3
  ),
0)</f>
        <v>0</v>
      </c>
    </row>
    <row r="239" spans="1:4" ht="50" customHeight="1" x14ac:dyDescent="0.2">
      <c r="A239" s="39"/>
      <c r="B239" s="35" t="s">
        <v>355</v>
      </c>
      <c r="C239" s="30">
        <f ca="1">IFERROR(
   COUNTIF(INDIRECT("'" &amp; LOOKUP("zzz",$A$7:A239) &amp; "'!C:C"), B239),
   0
)</f>
        <v>0</v>
      </c>
      <c r="D239" s="42" cm="1">
        <f t="array" aca="1" ref="D239" ca="1">IFERROR(
  COUNTIFS(
    INDIRECT("'" &amp; LOOKUP(2,1/($A$7:A239&lt;&gt;""),$A$7:A239) &amp; "'!C:C"), $B239,
    INDIRECT("'" &amp; LOOKUP(2,1/($A$7:A239&lt;&gt;""),$A$7:A239) &amp; "'!E:E"), "&gt;=" &amp; ($B$3-6),
    INDIRECT("'" &amp; LOOKUP(2,1/($A$7:A239&lt;&gt;""),$A$7:A239) &amp; "'!E:E"), "&lt;=" &amp; $B$3
  ),
0)</f>
        <v>0</v>
      </c>
    </row>
    <row r="240" spans="1:4" ht="50" customHeight="1" x14ac:dyDescent="0.2">
      <c r="A240" s="39"/>
      <c r="B240" s="35" t="s">
        <v>354</v>
      </c>
      <c r="C240" s="30">
        <f ca="1">IFERROR(
   COUNTIF(INDIRECT("'" &amp; LOOKUP("zzz",$A$7:A240) &amp; "'!C:C"), B240),
   0
)</f>
        <v>0</v>
      </c>
      <c r="D240" s="42" cm="1">
        <f t="array" aca="1" ref="D240" ca="1">IFERROR(
  COUNTIFS(
    INDIRECT("'" &amp; LOOKUP(2,1/($A$7:A240&lt;&gt;""),$A$7:A240) &amp; "'!C:C"), $B240,
    INDIRECT("'" &amp; LOOKUP(2,1/($A$7:A240&lt;&gt;""),$A$7:A240) &amp; "'!E:E"), "&gt;=" &amp; ($B$3-6),
    INDIRECT("'" &amp; LOOKUP(2,1/($A$7:A240&lt;&gt;""),$A$7:A240) &amp; "'!E:E"), "&lt;=" &amp; $B$3
  ),
0)</f>
        <v>0</v>
      </c>
    </row>
    <row r="241" spans="1:4" ht="50" customHeight="1" x14ac:dyDescent="0.2">
      <c r="A241" s="39"/>
      <c r="B241" s="35" t="s">
        <v>353</v>
      </c>
      <c r="C241" s="30">
        <f ca="1">IFERROR(
   COUNTIF(INDIRECT("'" &amp; LOOKUP("zzz",$A$7:A241) &amp; "'!C:C"), B241),
   0
)</f>
        <v>0</v>
      </c>
      <c r="D241" s="42" cm="1">
        <f t="array" aca="1" ref="D241" ca="1">IFERROR(
  COUNTIFS(
    INDIRECT("'" &amp; LOOKUP(2,1/($A$7:A241&lt;&gt;""),$A$7:A241) &amp; "'!C:C"), $B241,
    INDIRECT("'" &amp; LOOKUP(2,1/($A$7:A241&lt;&gt;""),$A$7:A241) &amp; "'!E:E"), "&gt;=" &amp; ($B$3-6),
    INDIRECT("'" &amp; LOOKUP(2,1/($A$7:A241&lt;&gt;""),$A$7:A241) &amp; "'!E:E"), "&lt;=" &amp; $B$3
  ),
0)</f>
        <v>0</v>
      </c>
    </row>
    <row r="242" spans="1:4" ht="50" customHeight="1" x14ac:dyDescent="0.2">
      <c r="A242" s="39"/>
      <c r="B242" s="35" t="s">
        <v>352</v>
      </c>
      <c r="C242" s="30">
        <f ca="1">IFERROR(
   COUNTIF(INDIRECT("'" &amp; LOOKUP("zzz",$A$7:A242) &amp; "'!C:C"), B242),
   0
)</f>
        <v>0</v>
      </c>
      <c r="D242" s="42" cm="1">
        <f t="array" aca="1" ref="D242" ca="1">IFERROR(
  COUNTIFS(
    INDIRECT("'" &amp; LOOKUP(2,1/($A$7:A242&lt;&gt;""),$A$7:A242) &amp; "'!C:C"), $B242,
    INDIRECT("'" &amp; LOOKUP(2,1/($A$7:A242&lt;&gt;""),$A$7:A242) &amp; "'!E:E"), "&gt;=" &amp; ($B$3-6),
    INDIRECT("'" &amp; LOOKUP(2,1/($A$7:A242&lt;&gt;""),$A$7:A242) &amp; "'!E:E"), "&lt;=" &amp; $B$3
  ),
0)</f>
        <v>0</v>
      </c>
    </row>
    <row r="243" spans="1:4" ht="50" customHeight="1" x14ac:dyDescent="0.2">
      <c r="A243" s="39"/>
      <c r="B243" s="35" t="s">
        <v>247</v>
      </c>
      <c r="C243" s="30">
        <f ca="1">IFERROR(
   COUNTIF(INDIRECT("'" &amp; LOOKUP("zzz",$A$7:A243) &amp; "'!C:C"), B243),
   0
)</f>
        <v>0</v>
      </c>
      <c r="D243" s="42" cm="1">
        <f t="array" aca="1" ref="D243" ca="1">IFERROR(
  COUNTIFS(
    INDIRECT("'" &amp; LOOKUP(2,1/($A$7:A243&lt;&gt;""),$A$7:A243) &amp; "'!C:C"), $B243,
    INDIRECT("'" &amp; LOOKUP(2,1/($A$7:A243&lt;&gt;""),$A$7:A243) &amp; "'!E:E"), "&gt;=" &amp; ($B$3-6),
    INDIRECT("'" &amp; LOOKUP(2,1/($A$7:A243&lt;&gt;""),$A$7:A243) &amp; "'!E:E"), "&lt;=" &amp; $B$3
  ),
0)</f>
        <v>0</v>
      </c>
    </row>
    <row r="244" spans="1:4" ht="50" customHeight="1" x14ac:dyDescent="0.2">
      <c r="A244" s="39"/>
      <c r="B244" s="35" t="s">
        <v>140</v>
      </c>
      <c r="C244" s="30">
        <f ca="1">IFERROR(
   COUNTIF(INDIRECT("'" &amp; LOOKUP("zzz",$A$7:A244) &amp; "'!C:C"), B244),
   0
)</f>
        <v>0</v>
      </c>
      <c r="D244" s="42" cm="1">
        <f t="array" aca="1" ref="D244" ca="1">IFERROR(
  COUNTIFS(
    INDIRECT("'" &amp; LOOKUP(2,1/($A$7:A244&lt;&gt;""),$A$7:A244) &amp; "'!C:C"), $B244,
    INDIRECT("'" &amp; LOOKUP(2,1/($A$7:A244&lt;&gt;""),$A$7:A244) &amp; "'!E:E"), "&gt;=" &amp; ($B$3-6),
    INDIRECT("'" &amp; LOOKUP(2,1/($A$7:A244&lt;&gt;""),$A$7:A244) &amp; "'!E:E"), "&lt;=" &amp; $B$3
  ),
0)</f>
        <v>0</v>
      </c>
    </row>
    <row r="245" spans="1:4" ht="50" customHeight="1" x14ac:dyDescent="0.2">
      <c r="A245" s="39"/>
      <c r="B245" s="35" t="s">
        <v>143</v>
      </c>
      <c r="C245" s="30">
        <f ca="1">IFERROR(
   COUNTIF(INDIRECT("'" &amp; LOOKUP("zzz",$A$7:A245) &amp; "'!C:C"), B245),
   0
)</f>
        <v>0</v>
      </c>
      <c r="D245" s="42" cm="1">
        <f t="array" aca="1" ref="D245" ca="1">IFERROR(
  COUNTIFS(
    INDIRECT("'" &amp; LOOKUP(2,1/($A$7:A245&lt;&gt;""),$A$7:A245) &amp; "'!C:C"), $B245,
    INDIRECT("'" &amp; LOOKUP(2,1/($A$7:A245&lt;&gt;""),$A$7:A245) &amp; "'!E:E"), "&gt;=" &amp; ($B$3-6),
    INDIRECT("'" &amp; LOOKUP(2,1/($A$7:A245&lt;&gt;""),$A$7:A245) &amp; "'!E:E"), "&lt;=" &amp; $B$3
  ),
0)</f>
        <v>0</v>
      </c>
    </row>
    <row r="246" spans="1:4" ht="50" customHeight="1" x14ac:dyDescent="0.2">
      <c r="A246" s="39"/>
      <c r="B246" s="35" t="s">
        <v>297</v>
      </c>
      <c r="C246" s="30">
        <f ca="1">IFERROR(
   COUNTIF(INDIRECT("'" &amp; LOOKUP("zzz",$A$7:A246) &amp; "'!C:C"), B246),
   0
)</f>
        <v>0</v>
      </c>
      <c r="D246" s="42" cm="1">
        <f t="array" aca="1" ref="D246" ca="1">IFERROR(
  COUNTIFS(
    INDIRECT("'" &amp; LOOKUP(2,1/($A$7:A246&lt;&gt;""),$A$7:A246) &amp; "'!C:C"), $B246,
    INDIRECT("'" &amp; LOOKUP(2,1/($A$7:A246&lt;&gt;""),$A$7:A246) &amp; "'!E:E"), "&gt;=" &amp; ($B$3-6),
    INDIRECT("'" &amp; LOOKUP(2,1/($A$7:A246&lt;&gt;""),$A$7:A246) &amp; "'!E:E"), "&lt;=" &amp; $B$3
  ),
0)</f>
        <v>0</v>
      </c>
    </row>
    <row r="247" spans="1:4" ht="50" customHeight="1" x14ac:dyDescent="0.2">
      <c r="A247" s="66"/>
      <c r="B247" s="67" t="s">
        <v>380</v>
      </c>
      <c r="C247" s="45">
        <f ca="1">IFERROR(
   COUNTIF(INDIRECT("'" &amp; LOOKUP("zzz",$A$7:A247) &amp; "'!C:C"), B247),
   0
)</f>
        <v>0</v>
      </c>
      <c r="D247" s="83" cm="1">
        <f t="array" aca="1" ref="D247" ca="1">IFERROR(
  COUNTIFS(
    INDIRECT("'" &amp; LOOKUP(2,1/($A$7:A247&lt;&gt;""),$A$7:A247) &amp; "'!C:C"), $B247,
    INDIRECT("'" &amp; LOOKUP(2,1/($A$7:A247&lt;&gt;""),$A$7:A247) &amp; "'!E:E"), "&gt;=" &amp; ($B$3-6),
    INDIRECT("'" &amp; LOOKUP(2,1/($A$7:A247&lt;&gt;""),$A$7:A247) &amp; "'!E:E"), "&lt;=" &amp; $B$3
  ),
0)</f>
        <v>0</v>
      </c>
    </row>
    <row r="248" spans="1:4" ht="50" customHeight="1" x14ac:dyDescent="0.2">
      <c r="A248" s="62" t="s">
        <v>208</v>
      </c>
      <c r="B248" s="63" t="s">
        <v>216</v>
      </c>
      <c r="C248" s="64">
        <f ca="1">IFERROR(
   COUNTIF(INDIRECT("'" &amp; LOOKUP("zzz",$A$7:A248) &amp; "'!C:C"), B248),
   0
)</f>
        <v>0</v>
      </c>
      <c r="D248" s="71" cm="1">
        <f t="array" aca="1" ref="D248" ca="1">IFERROR(
  COUNTIFS(
    INDIRECT("'" &amp; LOOKUP(2,1/($A$7:A248&lt;&gt;""),$A$7:A248) &amp; "'!C:C"), $B248,
    INDIRECT("'" &amp; LOOKUP(2,1/($A$7:A248&lt;&gt;""),$A$7:A248) &amp; "'!E:E"), "&gt;=" &amp; ($B$3-6),
    INDIRECT("'" &amp; LOOKUP(2,1/($A$7:A248&lt;&gt;""),$A$7:A248) &amp; "'!E:E"), "&lt;=" &amp; $B$3
  ),
0)</f>
        <v>0</v>
      </c>
    </row>
    <row r="249" spans="1:4" ht="50" customHeight="1" x14ac:dyDescent="0.2">
      <c r="A249" s="54"/>
      <c r="B249" s="53" t="s">
        <v>215</v>
      </c>
      <c r="C249" s="52">
        <f ca="1">IFERROR(
   COUNTIF(INDIRECT("'" &amp; LOOKUP("zzz",$A$7:A249) &amp; "'!C:C"), B249),
   0
)</f>
        <v>0</v>
      </c>
      <c r="D249" s="72" cm="1">
        <f t="array" aca="1" ref="D249" ca="1">IFERROR(
  COUNTIFS(
    INDIRECT("'" &amp; LOOKUP(2,1/($A$7:A249&lt;&gt;""),$A$7:A249) &amp; "'!C:C"), $B249,
    INDIRECT("'" &amp; LOOKUP(2,1/($A$7:A249&lt;&gt;""),$A$7:A249) &amp; "'!E:E"), "&gt;=" &amp; ($B$3-6),
    INDIRECT("'" &amp; LOOKUP(2,1/($A$7:A249&lt;&gt;""),$A$7:A249) &amp; "'!E:E"), "&lt;=" &amp; $B$3
  ),
0)</f>
        <v>0</v>
      </c>
    </row>
    <row r="250" spans="1:4" ht="50" customHeight="1" x14ac:dyDescent="0.2">
      <c r="A250" s="39" t="s">
        <v>207</v>
      </c>
      <c r="B250" s="35" t="s">
        <v>217</v>
      </c>
      <c r="C250" s="30">
        <f ca="1">IFERROR(
   COUNTIF(INDIRECT("'" &amp; LOOKUP("zzz",$A$7:A250) &amp; "'!C:C"), B250),
   0
)</f>
        <v>0</v>
      </c>
      <c r="D250" s="71" cm="1">
        <f t="array" aca="1" ref="D250" ca="1">IFERROR(
  COUNTIFS(
    INDIRECT("'" &amp; LOOKUP(2,1/($A$7:A250&lt;&gt;""),$A$7:A250) &amp; "'!C:C"), $B250,
    INDIRECT("'" &amp; LOOKUP(2,1/($A$7:A250&lt;&gt;""),$A$7:A250) &amp; "'!E:E"), "&gt;=" &amp; ($B$3-6),
    INDIRECT("'" &amp; LOOKUP(2,1/($A$7:A250&lt;&gt;""),$A$7:A250) &amp; "'!E:E"), "&lt;=" &amp; $B$3
  ),
0)</f>
        <v>0</v>
      </c>
    </row>
    <row r="251" spans="1:4" ht="50" customHeight="1" x14ac:dyDescent="0.2">
      <c r="A251" s="28"/>
      <c r="B251" s="32" t="s">
        <v>218</v>
      </c>
      <c r="C251" s="28">
        <f ca="1">IFERROR(
   COUNTIF(INDIRECT("'" &amp; LOOKUP("zzz",$A$7:A251) &amp; "'!C:C"), B251),
   0
)</f>
        <v>0</v>
      </c>
      <c r="D251" s="41" cm="1">
        <f t="array" aca="1" ref="D251" ca="1">IFERROR(
  COUNTIFS(
    INDIRECT("'" &amp; LOOKUP(2,1/($A$7:A251&lt;&gt;""),$A$7:A251) &amp; "'!C:C"), $B251,
    INDIRECT("'" &amp; LOOKUP(2,1/($A$7:A251&lt;&gt;""),$A$7:A251) &amp; "'!E:E"), "&gt;=" &amp; ($B$3-6),
    INDIRECT("'" &amp; LOOKUP(2,1/($A$7:A251&lt;&gt;""),$A$7:A251) &amp; "'!E:E"), "&lt;=" &amp; $B$3
  ),
0)</f>
        <v>0</v>
      </c>
    </row>
    <row r="252" spans="1:4" ht="50" customHeight="1" x14ac:dyDescent="0.2">
      <c r="A252" s="28"/>
      <c r="B252" s="32" t="s">
        <v>220</v>
      </c>
      <c r="C252" s="28">
        <f ca="1">IFERROR(
   COUNTIF(INDIRECT("'" &amp; LOOKUP("zzz",$A$7:A252) &amp; "'!C:C"), B252),
   0
)</f>
        <v>0</v>
      </c>
      <c r="D252" s="41" cm="1">
        <f t="array" aca="1" ref="D252" ca="1">IFERROR(
  COUNTIFS(
    INDIRECT("'" &amp; LOOKUP(2,1/($A$7:A252&lt;&gt;""),$A$7:A252) &amp; "'!C:C"), $B252,
    INDIRECT("'" &amp; LOOKUP(2,1/($A$7:A252&lt;&gt;""),$A$7:A252) &amp; "'!E:E"), "&gt;=" &amp; ($B$3-6),
    INDIRECT("'" &amp; LOOKUP(2,1/($A$7:A252&lt;&gt;""),$A$7:A252) &amp; "'!E:E"), "&lt;=" &amp; $B$3
  ),
0)</f>
        <v>0</v>
      </c>
    </row>
    <row r="253" spans="1:4" ht="50" customHeight="1" x14ac:dyDescent="0.2">
      <c r="A253" s="29"/>
      <c r="B253" s="32" t="s">
        <v>221</v>
      </c>
      <c r="C253" s="28">
        <f ca="1">IFERROR(
   COUNTIF(INDIRECT("'" &amp; LOOKUP("zzz",$A$7:A253) &amp; "'!C:C"), B253),
   0
)</f>
        <v>0</v>
      </c>
      <c r="D253" s="41" cm="1">
        <f t="array" aca="1" ref="D253" ca="1">IFERROR(
  COUNTIFS(
    INDIRECT("'" &amp; LOOKUP(2,1/($A$7:A253&lt;&gt;""),$A$7:A253) &amp; "'!C:C"), $B253,
    INDIRECT("'" &amp; LOOKUP(2,1/($A$7:A253&lt;&gt;""),$A$7:A253) &amp; "'!E:E"), "&gt;=" &amp; ($B$3-6),
    INDIRECT("'" &amp; LOOKUP(2,1/($A$7:A253&lt;&gt;""),$A$7:A253) &amp; "'!E:E"), "&lt;=" &amp; $B$3
  ),
0)</f>
        <v>0</v>
      </c>
    </row>
    <row r="254" spans="1:4" ht="50" customHeight="1" x14ac:dyDescent="0.2">
      <c r="A254" s="54"/>
      <c r="B254" s="55" t="s">
        <v>219</v>
      </c>
      <c r="C254" s="52">
        <f ca="1">IFERROR(
   COUNTIF(INDIRECT("'" &amp; LOOKUP("zzz",$A$7:A254) &amp; "'!C:C"), B254),
   0
)</f>
        <v>0</v>
      </c>
      <c r="D254" s="72" cm="1">
        <f t="array" aca="1" ref="D254" ca="1">IFERROR(
  COUNTIFS(
    INDIRECT("'" &amp; LOOKUP(2,1/($A$7:A254&lt;&gt;""),$A$7:A254) &amp; "'!C:C"), $B254,
    INDIRECT("'" &amp; LOOKUP(2,1/($A$7:A254&lt;&gt;""),$A$7:A254) &amp; "'!E:E"), "&gt;=" &amp; ($B$3-6),
    INDIRECT("'" &amp; LOOKUP(2,1/($A$7:A254&lt;&gt;""),$A$7:A254) &amp; "'!E:E"), "&lt;=" &amp; $B$3
  ),
0)</f>
        <v>0</v>
      </c>
    </row>
    <row r="255" spans="1:4" ht="50" customHeight="1" x14ac:dyDescent="0.2">
      <c r="A255" s="39" t="s">
        <v>206</v>
      </c>
      <c r="B255" s="35" t="s">
        <v>222</v>
      </c>
      <c r="C255" s="30">
        <f ca="1">IFERROR(
   COUNTIF(INDIRECT("'" &amp; LOOKUP("zzz",$A$7:A255) &amp; "'!C:C"), B255),
   0
)</f>
        <v>0</v>
      </c>
      <c r="D255" s="71" cm="1">
        <f t="array" aca="1" ref="D255" ca="1">IFERROR(
  COUNTIFS(
    INDIRECT("'" &amp; LOOKUP(2,1/($A$7:A255&lt;&gt;""),$A$7:A255) &amp; "'!C:C"), $B255,
    INDIRECT("'" &amp; LOOKUP(2,1/($A$7:A255&lt;&gt;""),$A$7:A255) &amp; "'!E:E"), "&gt;=" &amp; ($B$3-6),
    INDIRECT("'" &amp; LOOKUP(2,1/($A$7:A255&lt;&gt;""),$A$7:A255) &amp; "'!E:E"), "&lt;=" &amp; $B$3
  ),
0)</f>
        <v>0</v>
      </c>
    </row>
    <row r="256" spans="1:4" ht="50" customHeight="1" x14ac:dyDescent="0.2">
      <c r="A256" s="39"/>
      <c r="B256" s="35" t="s">
        <v>223</v>
      </c>
      <c r="C256" s="28">
        <f ca="1">IFERROR(
   COUNTIF(INDIRECT("'" &amp; LOOKUP("zzz",$A$7:A256) &amp; "'!C:C"), B256),
   0
)</f>
        <v>0</v>
      </c>
      <c r="D256" s="41" cm="1">
        <f t="array" aca="1" ref="D256" ca="1">IFERROR(
  COUNTIFS(
    INDIRECT("'" &amp; LOOKUP(2,1/($A$7:A256&lt;&gt;""),$A$7:A256) &amp; "'!C:C"), $B256,
    INDIRECT("'" &amp; LOOKUP(2,1/($A$7:A256&lt;&gt;""),$A$7:A256) &amp; "'!E:E"), "&gt;=" &amp; ($B$3-6),
    INDIRECT("'" &amp; LOOKUP(2,1/($A$7:A256&lt;&gt;""),$A$7:A256) &amp; "'!E:E"), "&lt;=" &amp; $B$3
  ),
0)</f>
        <v>0</v>
      </c>
    </row>
    <row r="257" spans="1:4" ht="50" customHeight="1" x14ac:dyDescent="0.2">
      <c r="A257" s="39"/>
      <c r="B257" s="35" t="s">
        <v>225</v>
      </c>
      <c r="C257" s="28">
        <f ca="1">IFERROR(
   COUNTIF(INDIRECT("'" &amp; LOOKUP("zzz",$A$7:A257) &amp; "'!C:C"), B257),
   0
)</f>
        <v>0</v>
      </c>
      <c r="D257" s="41" cm="1">
        <f t="array" aca="1" ref="D257" ca="1">IFERROR(
  COUNTIFS(
    INDIRECT("'" &amp; LOOKUP(2,1/($A$7:A257&lt;&gt;""),$A$7:A257) &amp; "'!C:C"), $B257,
    INDIRECT("'" &amp; LOOKUP(2,1/($A$7:A257&lt;&gt;""),$A$7:A257) &amp; "'!E:E"), "&gt;=" &amp; ($B$3-6),
    INDIRECT("'" &amp; LOOKUP(2,1/($A$7:A257&lt;&gt;""),$A$7:A257) &amp; "'!E:E"), "&lt;=" &amp; $B$3
  ),
0)</f>
        <v>0</v>
      </c>
    </row>
    <row r="258" spans="1:4" ht="50" customHeight="1" x14ac:dyDescent="0.2">
      <c r="A258" s="29"/>
      <c r="B258" s="33" t="s">
        <v>224</v>
      </c>
      <c r="C258" s="28">
        <f ca="1">IFERROR(
   COUNTIF(INDIRECT("'" &amp; LOOKUP("zzz",$A$7:A258) &amp; "'!C:C"), B258),
   0
)</f>
        <v>0</v>
      </c>
      <c r="D258" s="41" cm="1">
        <f t="array" aca="1" ref="D258" ca="1">IFERROR(
  COUNTIFS(
    INDIRECT("'" &amp; LOOKUP(2,1/($A$7:A258&lt;&gt;""),$A$7:A258) &amp; "'!C:C"), $B258,
    INDIRECT("'" &amp; LOOKUP(2,1/($A$7:A258&lt;&gt;""),$A$7:A258) &amp; "'!E:E"), "&gt;=" &amp; ($B$3-6),
    INDIRECT("'" &amp; LOOKUP(2,1/($A$7:A258&lt;&gt;""),$A$7:A258) &amp; "'!E:E"), "&lt;=" &amp; $B$3
  ),
0)</f>
        <v>0</v>
      </c>
    </row>
    <row r="259" spans="1:4" ht="50" customHeight="1" x14ac:dyDescent="0.2">
      <c r="A259" s="54"/>
      <c r="B259" s="53" t="s">
        <v>381</v>
      </c>
      <c r="C259" s="52">
        <f ca="1">IFERROR(
   COUNTIF(INDIRECT("'" &amp; LOOKUP("zzz",$A$7:A259) &amp; "'!C:C"), B259),
   0
)</f>
        <v>0</v>
      </c>
      <c r="D259" s="72" cm="1">
        <f t="array" aca="1" ref="D259" ca="1">IFERROR(
  COUNTIFS(
    INDIRECT("'" &amp; LOOKUP(2,1/($A$7:A259&lt;&gt;""),$A$7:A259) &amp; "'!C:C"), $B259,
    INDIRECT("'" &amp; LOOKUP(2,1/($A$7:A259&lt;&gt;""),$A$7:A259) &amp; "'!E:E"), "&gt;=" &amp; ($B$3-6),
    INDIRECT("'" &amp; LOOKUP(2,1/($A$7:A259&lt;&gt;""),$A$7:A259) &amp; "'!E:E"), "&lt;=" &amp; $B$3
  ),
0)</f>
        <v>0</v>
      </c>
    </row>
    <row r="260" spans="1:4" ht="50" customHeight="1" x14ac:dyDescent="0.2">
      <c r="A260" s="39" t="s">
        <v>27</v>
      </c>
      <c r="B260" s="35" t="s">
        <v>119</v>
      </c>
      <c r="C260" s="30">
        <f ca="1">IFERROR(
   COUNTIF(INDIRECT("'" &amp; LOOKUP("zzz",$A$7:A260) &amp; "'!C:C"), B260),
   0
)</f>
        <v>0</v>
      </c>
      <c r="D260" s="71" cm="1">
        <f t="array" aca="1" ref="D260" ca="1">IFERROR(
  COUNTIFS(
    INDIRECT("'" &amp; LOOKUP(2,1/($A$7:A260&lt;&gt;""),$A$7:A260) &amp; "'!C:C"), $B260,
    INDIRECT("'" &amp; LOOKUP(2,1/($A$7:A260&lt;&gt;""),$A$7:A260) &amp; "'!E:E"), "&gt;=" &amp; ($B$3-6),
    INDIRECT("'" &amp; LOOKUP(2,1/($A$7:A260&lt;&gt;""),$A$7:A260) &amp; "'!E:E"), "&lt;=" &amp; $B$3
  ),
0)</f>
        <v>0</v>
      </c>
    </row>
    <row r="261" spans="1:4" ht="50" customHeight="1" x14ac:dyDescent="0.2">
      <c r="A261" s="29"/>
      <c r="B261" s="33" t="s">
        <v>105</v>
      </c>
      <c r="C261" s="28">
        <f ca="1">IFERROR(
   COUNTIF(INDIRECT("'" &amp; LOOKUP("zzz",$A$7:A261) &amp; "'!C:C"), B261),
   0
)</f>
        <v>0</v>
      </c>
      <c r="D261" s="41" cm="1">
        <f t="array" aca="1" ref="D261" ca="1">IFERROR(
  COUNTIFS(
    INDIRECT("'" &amp; LOOKUP(2,1/($A$7:A261&lt;&gt;""),$A$7:A261) &amp; "'!C:C"), $B261,
    INDIRECT("'" &amp; LOOKUP(2,1/($A$7:A261&lt;&gt;""),$A$7:A261) &amp; "'!E:E"), "&gt;=" &amp; ($B$3-6),
    INDIRECT("'" &amp; LOOKUP(2,1/($A$7:A261&lt;&gt;""),$A$7:A261) &amp; "'!E:E"), "&lt;=" &amp; $B$3
  ),
0)</f>
        <v>0</v>
      </c>
    </row>
    <row r="262" spans="1:4" ht="50" customHeight="1" x14ac:dyDescent="0.2">
      <c r="A262" s="29"/>
      <c r="B262" s="33" t="s">
        <v>48</v>
      </c>
      <c r="C262" s="28">
        <f ca="1">IFERROR(
   COUNTIF(INDIRECT("'" &amp; LOOKUP("zzz",$A$7:A262) &amp; "'!C:C"), B262),
   0
)</f>
        <v>0</v>
      </c>
      <c r="D262" s="41" cm="1">
        <f t="array" aca="1" ref="D262" ca="1">IFERROR(
  COUNTIFS(
    INDIRECT("'" &amp; LOOKUP(2,1/($A$7:A262&lt;&gt;""),$A$7:A262) &amp; "'!C:C"), $B262,
    INDIRECT("'" &amp; LOOKUP(2,1/($A$7:A262&lt;&gt;""),$A$7:A262) &amp; "'!E:E"), "&gt;=" &amp; ($B$3-6),
    INDIRECT("'" &amp; LOOKUP(2,1/($A$7:A262&lt;&gt;""),$A$7:A262) &amp; "'!E:E"), "&lt;=" &amp; $B$3
  ),
0)</f>
        <v>0</v>
      </c>
    </row>
    <row r="263" spans="1:4" ht="50" customHeight="1" x14ac:dyDescent="0.2">
      <c r="A263" s="29"/>
      <c r="B263" s="33" t="s">
        <v>87</v>
      </c>
      <c r="C263" s="28">
        <f ca="1">IFERROR(
   COUNTIF(INDIRECT("'" &amp; LOOKUP("zzz",$A$7:A263) &amp; "'!C:C"), B263),
   0
)</f>
        <v>0</v>
      </c>
      <c r="D263" s="41" cm="1">
        <f t="array" aca="1" ref="D263" ca="1">IFERROR(
  COUNTIFS(
    INDIRECT("'" &amp; LOOKUP(2,1/($A$7:A263&lt;&gt;""),$A$7:A263) &amp; "'!C:C"), $B263,
    INDIRECT("'" &amp; LOOKUP(2,1/($A$7:A263&lt;&gt;""),$A$7:A263) &amp; "'!E:E"), "&gt;=" &amp; ($B$3-6),
    INDIRECT("'" &amp; LOOKUP(2,1/($A$7:A263&lt;&gt;""),$A$7:A263) &amp; "'!E:E"), "&lt;=" &amp; $B$3
  ),
0)</f>
        <v>0</v>
      </c>
    </row>
    <row r="264" spans="1:4" ht="50" customHeight="1" x14ac:dyDescent="0.2">
      <c r="A264" s="29"/>
      <c r="B264" s="33" t="s">
        <v>68</v>
      </c>
      <c r="C264" s="28">
        <f ca="1">IFERROR(
   COUNTIF(INDIRECT("'" &amp; LOOKUP("zzz",$A$7:A264) &amp; "'!C:C"), B264),
   0
)</f>
        <v>0</v>
      </c>
      <c r="D264" s="41" cm="1">
        <f t="array" aca="1" ref="D264" ca="1">IFERROR(
  COUNTIFS(
    INDIRECT("'" &amp; LOOKUP(2,1/($A$7:A264&lt;&gt;""),$A$7:A264) &amp; "'!C:C"), $B264,
    INDIRECT("'" &amp; LOOKUP(2,1/($A$7:A264&lt;&gt;""),$A$7:A264) &amp; "'!E:E"), "&gt;=" &amp; ($B$3-6),
    INDIRECT("'" &amp; LOOKUP(2,1/($A$7:A264&lt;&gt;""),$A$7:A264) &amp; "'!E:E"), "&lt;=" &amp; $B$3
  ),
0)</f>
        <v>0</v>
      </c>
    </row>
    <row r="265" spans="1:4" ht="50" customHeight="1" x14ac:dyDescent="0.2">
      <c r="A265" s="29"/>
      <c r="B265" s="33" t="s">
        <v>382</v>
      </c>
      <c r="C265" s="28">
        <f ca="1">IFERROR(
   COUNTIF(INDIRECT("'" &amp; LOOKUP("zzz",$A$7:A265) &amp; "'!C:C"), B265),
   0
)</f>
        <v>0</v>
      </c>
      <c r="D265" s="41" cm="1">
        <f t="array" aca="1" ref="D265" ca="1">IFERROR(
  COUNTIFS(
    INDIRECT("'" &amp; LOOKUP(2,1/($A$7:A265&lt;&gt;""),$A$7:A265) &amp; "'!C:C"), $B265,
    INDIRECT("'" &amp; LOOKUP(2,1/($A$7:A265&lt;&gt;""),$A$7:A265) &amp; "'!E:E"), "&gt;=" &amp; ($B$3-6),
    INDIRECT("'" &amp; LOOKUP(2,1/($A$7:A265&lt;&gt;""),$A$7:A265) &amp; "'!E:E"), "&lt;=" &amp; $B$3
  ),
0)</f>
        <v>0</v>
      </c>
    </row>
    <row r="266" spans="1:4" ht="50" customHeight="1" x14ac:dyDescent="0.2">
      <c r="A266" s="29"/>
      <c r="B266" s="33" t="s">
        <v>383</v>
      </c>
      <c r="C266" s="28">
        <f ca="1">IFERROR(
   COUNTIF(INDIRECT("'" &amp; LOOKUP("zzz",$A$7:A266) &amp; "'!C:C"), B266),
   0
)</f>
        <v>0</v>
      </c>
      <c r="D266" s="41" cm="1">
        <f t="array" aca="1" ref="D266" ca="1">IFERROR(
  COUNTIFS(
    INDIRECT("'" &amp; LOOKUP(2,1/($A$7:A266&lt;&gt;""),$A$7:A266) &amp; "'!C:C"), $B266,
    INDIRECT("'" &amp; LOOKUP(2,1/($A$7:A266&lt;&gt;""),$A$7:A266) &amp; "'!E:E"), "&gt;=" &amp; ($B$3-6),
    INDIRECT("'" &amp; LOOKUP(2,1/($A$7:A266&lt;&gt;""),$A$7:A266) &amp; "'!E:E"), "&lt;=" &amp; $B$3
  ),
0)</f>
        <v>0</v>
      </c>
    </row>
    <row r="267" spans="1:4" ht="50" customHeight="1" x14ac:dyDescent="0.2">
      <c r="A267" s="29"/>
      <c r="B267" s="33" t="s">
        <v>384</v>
      </c>
      <c r="C267" s="28">
        <f ca="1">IFERROR(
   COUNTIF(INDIRECT("'" &amp; LOOKUP("zzz",$A$7:A267) &amp; "'!C:C"), B267),
   0
)</f>
        <v>0</v>
      </c>
      <c r="D267" s="41" cm="1">
        <f t="array" aca="1" ref="D267" ca="1">IFERROR(
  COUNTIFS(
    INDIRECT("'" &amp; LOOKUP(2,1/($A$7:A267&lt;&gt;""),$A$7:A267) &amp; "'!C:C"), $B267,
    INDIRECT("'" &amp; LOOKUP(2,1/($A$7:A267&lt;&gt;""),$A$7:A267) &amp; "'!E:E"), "&gt;=" &amp; ($B$3-6),
    INDIRECT("'" &amp; LOOKUP(2,1/($A$7:A267&lt;&gt;""),$A$7:A267) &amp; "'!E:E"), "&lt;=" &amp; $B$3
  ),
0)</f>
        <v>0</v>
      </c>
    </row>
    <row r="268" spans="1:4" ht="50" customHeight="1" x14ac:dyDescent="0.2">
      <c r="A268" s="29"/>
      <c r="B268" s="33" t="s">
        <v>385</v>
      </c>
      <c r="C268" s="28">
        <f ca="1">IFERROR(
   COUNTIF(INDIRECT("'" &amp; LOOKUP("zzz",$A$7:A268) &amp; "'!C:C"), B268),
   0
)</f>
        <v>0</v>
      </c>
      <c r="D268" s="41" cm="1">
        <f t="array" aca="1" ref="D268" ca="1">IFERROR(
  COUNTIFS(
    INDIRECT("'" &amp; LOOKUP(2,1/($A$7:A268&lt;&gt;""),$A$7:A268) &amp; "'!C:C"), $B268,
    INDIRECT("'" &amp; LOOKUP(2,1/($A$7:A268&lt;&gt;""),$A$7:A268) &amp; "'!E:E"), "&gt;=" &amp; ($B$3-6),
    INDIRECT("'" &amp; LOOKUP(2,1/($A$7:A268&lt;&gt;""),$A$7:A268) &amp; "'!E:E"), "&lt;=" &amp; $B$3
  ),
0)</f>
        <v>0</v>
      </c>
    </row>
    <row r="269" spans="1:4" ht="50" customHeight="1" x14ac:dyDescent="0.2">
      <c r="A269" s="37"/>
      <c r="B269" s="36" t="s">
        <v>386</v>
      </c>
      <c r="C269" s="37">
        <f ca="1">IFERROR(
   COUNTIF(INDIRECT("'" &amp; LOOKUP("zzz",$A$7:A269) &amp; "'!C:C"), B269),
   0
)</f>
        <v>0</v>
      </c>
      <c r="D269" s="72" cm="1">
        <f t="array" aca="1" ref="D269" ca="1">IFERROR(
  COUNTIFS(
    INDIRECT("'" &amp; LOOKUP(2,1/($A$7:A269&lt;&gt;""),$A$7:A269) &amp; "'!C:C"), $B269,
    INDIRECT("'" &amp; LOOKUP(2,1/($A$7:A269&lt;&gt;""),$A$7:A269) &amp; "'!E:E"), "&gt;=" &amp; ($B$3-6),
    INDIRECT("'" &amp; LOOKUP(2,1/($A$7:A269&lt;&gt;""),$A$7:A269) &amp; "'!E:E"), "&lt;=" &amp; $B$3
  ),
0)</f>
        <v>0</v>
      </c>
    </row>
    <row r="270" spans="1:4" ht="50" customHeight="1" x14ac:dyDescent="0.2">
      <c r="A270" s="39" t="s">
        <v>28</v>
      </c>
      <c r="B270" s="34" t="s">
        <v>49</v>
      </c>
      <c r="C270" s="30">
        <f ca="1">IFERROR(
   COUNTIF(INDIRECT("'" &amp; LOOKUP("zzz",$A$7:A270) &amp; "'!C:C"), B270),
   0
)</f>
        <v>0</v>
      </c>
      <c r="D270" s="71" cm="1">
        <f t="array" aca="1" ref="D270" ca="1">IFERROR(
  COUNTIFS(
    INDIRECT("'" &amp; LOOKUP(2,1/($A$7:A270&lt;&gt;""),$A$7:A270) &amp; "'!C:C"), $B270,
    INDIRECT("'" &amp; LOOKUP(2,1/($A$7:A270&lt;&gt;""),$A$7:A270) &amp; "'!E:E"), "&gt;=" &amp; ($B$3-6),
    INDIRECT("'" &amp; LOOKUP(2,1/($A$7:A270&lt;&gt;""),$A$7:A270) &amp; "'!E:E"), "&lt;=" &amp; $B$3
  ),
0)</f>
        <v>0</v>
      </c>
    </row>
    <row r="271" spans="1:4" ht="50" customHeight="1" x14ac:dyDescent="0.2">
      <c r="A271" s="29"/>
      <c r="B271" s="32" t="s">
        <v>106</v>
      </c>
      <c r="C271" s="28">
        <f ca="1">IFERROR(
   COUNTIF(INDIRECT("'" &amp; LOOKUP("zzz",$A$7:A271) &amp; "'!C:C"), B271),
   0
)</f>
        <v>0</v>
      </c>
      <c r="D271" s="41" cm="1">
        <f t="array" aca="1" ref="D271" ca="1">IFERROR(
  COUNTIFS(
    INDIRECT("'" &amp; LOOKUP(2,1/($A$7:A271&lt;&gt;""),$A$7:A271) &amp; "'!C:C"), $B271,
    INDIRECT("'" &amp; LOOKUP(2,1/($A$7:A271&lt;&gt;""),$A$7:A271) &amp; "'!E:E"), "&gt;=" &amp; ($B$3-6),
    INDIRECT("'" &amp; LOOKUP(2,1/($A$7:A271&lt;&gt;""),$A$7:A271) &amp; "'!E:E"), "&lt;=" &amp; $B$3
  ),
0)</f>
        <v>0</v>
      </c>
    </row>
    <row r="272" spans="1:4" ht="50" customHeight="1" x14ac:dyDescent="0.2">
      <c r="A272" s="29"/>
      <c r="B272" s="33" t="s">
        <v>88</v>
      </c>
      <c r="C272" s="28">
        <f ca="1">IFERROR(
   COUNTIF(INDIRECT("'" &amp; LOOKUP("zzz",$A$7:A272) &amp; "'!C:C"), B272),
   0
)</f>
        <v>0</v>
      </c>
      <c r="D272" s="41" cm="1">
        <f t="array" aca="1" ref="D272" ca="1">IFERROR(
  COUNTIFS(
    INDIRECT("'" &amp; LOOKUP(2,1/($A$7:A272&lt;&gt;""),$A$7:A272) &amp; "'!C:C"), $B272,
    INDIRECT("'" &amp; LOOKUP(2,1/($A$7:A272&lt;&gt;""),$A$7:A272) &amp; "'!E:E"), "&gt;=" &amp; ($B$3-6),
    INDIRECT("'" &amp; LOOKUP(2,1/($A$7:A272&lt;&gt;""),$A$7:A272) &amp; "'!E:E"), "&lt;=" &amp; $B$3
  ),
0)</f>
        <v>0</v>
      </c>
    </row>
    <row r="273" spans="1:4" ht="50" customHeight="1" x14ac:dyDescent="0.2">
      <c r="A273" s="29"/>
      <c r="B273" s="33" t="s">
        <v>69</v>
      </c>
      <c r="C273" s="28">
        <f ca="1">IFERROR(
   COUNTIF(INDIRECT("'" &amp; LOOKUP("zzz",$A$7:A273) &amp; "'!C:C"), B273),
   0
)</f>
        <v>0</v>
      </c>
      <c r="D273" s="41" cm="1">
        <f t="array" aca="1" ref="D273" ca="1">IFERROR(
  COUNTIFS(
    INDIRECT("'" &amp; LOOKUP(2,1/($A$7:A273&lt;&gt;""),$A$7:A273) &amp; "'!C:C"), $B273,
    INDIRECT("'" &amp; LOOKUP(2,1/($A$7:A273&lt;&gt;""),$A$7:A273) &amp; "'!E:E"), "&gt;=" &amp; ($B$3-6),
    INDIRECT("'" &amp; LOOKUP(2,1/($A$7:A273&lt;&gt;""),$A$7:A273) &amp; "'!E:E"), "&lt;=" &amp; $B$3
  ),
0)</f>
        <v>0</v>
      </c>
    </row>
    <row r="274" spans="1:4" ht="50" customHeight="1" x14ac:dyDescent="0.2">
      <c r="A274" s="28"/>
      <c r="B274" s="33" t="s">
        <v>120</v>
      </c>
      <c r="C274" s="28">
        <f ca="1">IFERROR(
   COUNTIF(INDIRECT("'" &amp; LOOKUP("zzz",$A$7:A274) &amp; "'!C:C"), B274),
   0
)</f>
        <v>0</v>
      </c>
      <c r="D274" s="41" cm="1">
        <f t="array" aca="1" ref="D274" ca="1">IFERROR(
  COUNTIFS(
    INDIRECT("'" &amp; LOOKUP(2,1/($A$7:A274&lt;&gt;""),$A$7:A274) &amp; "'!C:C"), $B274,
    INDIRECT("'" &amp; LOOKUP(2,1/($A$7:A274&lt;&gt;""),$A$7:A274) &amp; "'!E:E"), "&gt;=" &amp; ($B$3-6),
    INDIRECT("'" &amp; LOOKUP(2,1/($A$7:A274&lt;&gt;""),$A$7:A274) &amp; "'!E:E"), "&lt;=" &amp; $B$3
  ),
0)</f>
        <v>0</v>
      </c>
    </row>
    <row r="275" spans="1:4" ht="50" customHeight="1" x14ac:dyDescent="0.2">
      <c r="A275" s="57" t="s">
        <v>38</v>
      </c>
      <c r="B275" s="58" t="s">
        <v>17</v>
      </c>
      <c r="C275" s="57">
        <f ca="1">IFERROR(
   COUNTIF(INDIRECT("'" &amp; LOOKUP("zzz",$A$7:A275) &amp; "'!C:C"), B275),
   0
)</f>
        <v>0</v>
      </c>
      <c r="D275" s="71" cm="1">
        <f t="array" aca="1" ref="D275" ca="1">IFERROR(
  COUNTIFS(
    INDIRECT("'" &amp; LOOKUP(2,1/($A$7:A275&lt;&gt;""),$A$7:A275) &amp; "'!C:C"), $B275,
    INDIRECT("'" &amp; LOOKUP(2,1/($A$7:A275&lt;&gt;""),$A$7:A275) &amp; "'!E:E"), "&gt;=" &amp; ($B$3-6),
    INDIRECT("'" &amp; LOOKUP(2,1/($A$7:A275&lt;&gt;""),$A$7:A275) &amp; "'!E:E"), "&lt;=" &amp; $B$3
  ),
0)</f>
        <v>0</v>
      </c>
    </row>
    <row r="276" spans="1:4" ht="50" customHeight="1" x14ac:dyDescent="0.2">
      <c r="A276" s="28"/>
      <c r="B276" s="32" t="s">
        <v>154</v>
      </c>
      <c r="C276" s="28">
        <f ca="1">IFERROR(
   COUNTIF(INDIRECT("'" &amp; LOOKUP("zzz",$A$7:A276) &amp; "'!C:C"), B276),
   0
)</f>
        <v>0</v>
      </c>
      <c r="D276" s="41" cm="1">
        <f t="array" aca="1" ref="D276" ca="1">IFERROR(
  COUNTIFS(
    INDIRECT("'" &amp; LOOKUP(2,1/($A$7:A276&lt;&gt;""),$A$7:A276) &amp; "'!C:C"), $B276,
    INDIRECT("'" &amp; LOOKUP(2,1/($A$7:A276&lt;&gt;""),$A$7:A276) &amp; "'!E:E"), "&gt;=" &amp; ($B$3-6),
    INDIRECT("'" &amp; LOOKUP(2,1/($A$7:A276&lt;&gt;""),$A$7:A276) &amp; "'!E:E"), "&lt;=" &amp; $B$3
  ),
0)</f>
        <v>0</v>
      </c>
    </row>
    <row r="277" spans="1:4" ht="50" customHeight="1" x14ac:dyDescent="0.2">
      <c r="A277" s="28"/>
      <c r="B277" s="32" t="s">
        <v>258</v>
      </c>
      <c r="C277" s="28">
        <f ca="1">IFERROR(
   COUNTIF(INDIRECT("'" &amp; LOOKUP("zzz",$A$7:A277) &amp; "'!C:C"), B277),
   0
)</f>
        <v>0</v>
      </c>
      <c r="D277" s="41" cm="1">
        <f t="array" aca="1" ref="D277" ca="1">IFERROR(
  COUNTIFS(
    INDIRECT("'" &amp; LOOKUP(2,1/($A$7:A277&lt;&gt;""),$A$7:A277) &amp; "'!C:C"), $B277,
    INDIRECT("'" &amp; LOOKUP(2,1/($A$7:A277&lt;&gt;""),$A$7:A277) &amp; "'!E:E"), "&gt;=" &amp; ($B$3-6),
    INDIRECT("'" &amp; LOOKUP(2,1/($A$7:A277&lt;&gt;""),$A$7:A277) &amp; "'!E:E"), "&lt;=" &amp; $B$3
  ),
0)</f>
        <v>0</v>
      </c>
    </row>
    <row r="278" spans="1:4" ht="50" customHeight="1" x14ac:dyDescent="0.2">
      <c r="A278" s="28"/>
      <c r="B278" s="32" t="s">
        <v>259</v>
      </c>
      <c r="C278" s="28">
        <f ca="1">IFERROR(
   COUNTIF(INDIRECT("'" &amp; LOOKUP("zzz",$A$7:A278) &amp; "'!C:C"), B278),
   0
)</f>
        <v>0</v>
      </c>
      <c r="D278" s="41" cm="1">
        <f t="array" aca="1" ref="D278" ca="1">IFERROR(
  COUNTIFS(
    INDIRECT("'" &amp; LOOKUP(2,1/($A$7:A278&lt;&gt;""),$A$7:A278) &amp; "'!C:C"), $B278,
    INDIRECT("'" &amp; LOOKUP(2,1/($A$7:A278&lt;&gt;""),$A$7:A278) &amp; "'!E:E"), "&gt;=" &amp; ($B$3-6),
    INDIRECT("'" &amp; LOOKUP(2,1/($A$7:A278&lt;&gt;""),$A$7:A278) &amp; "'!E:E"), "&lt;=" &amp; $B$3
  ),
0)</f>
        <v>0</v>
      </c>
    </row>
    <row r="279" spans="1:4" ht="50" customHeight="1" x14ac:dyDescent="0.2">
      <c r="A279" s="43"/>
      <c r="B279" s="51" t="s">
        <v>41</v>
      </c>
      <c r="C279" s="28">
        <f ca="1">IFERROR(
   COUNTIF(INDIRECT("'" &amp; LOOKUP("zzz",$A$7:A279) &amp; "'!C:C"), B279),
   0
)</f>
        <v>0</v>
      </c>
      <c r="D279" s="41" cm="1">
        <f t="array" aca="1" ref="D279" ca="1">IFERROR(
  COUNTIFS(
    INDIRECT("'" &amp; LOOKUP(2,1/($A$7:A279&lt;&gt;""),$A$7:A279) &amp; "'!C:C"), $B279,
    INDIRECT("'" &amp; LOOKUP(2,1/($A$7:A279&lt;&gt;""),$A$7:A279) &amp; "'!E:E"), "&gt;=" &amp; ($B$3-6),
    INDIRECT("'" &amp; LOOKUP(2,1/($A$7:A279&lt;&gt;""),$A$7:A279) &amp; "'!E:E"), "&lt;=" &amp; $B$3
  ),
0)</f>
        <v>0</v>
      </c>
    </row>
    <row r="280" spans="1:4" ht="50" customHeight="1" x14ac:dyDescent="0.2">
      <c r="A280" s="43"/>
      <c r="B280" s="51" t="s">
        <v>334</v>
      </c>
      <c r="C280" s="28">
        <f ca="1">IFERROR(
   COUNTIF(INDIRECT("'" &amp; LOOKUP("zzz",$A$7:A280) &amp; "'!C:C"), B280),
   0
)</f>
        <v>0</v>
      </c>
      <c r="D280" s="41" cm="1">
        <f t="array" aca="1" ref="D280" ca="1">IFERROR(
  COUNTIFS(
    INDIRECT("'" &amp; LOOKUP(2,1/($A$7:A280&lt;&gt;""),$A$7:A280) &amp; "'!C:C"), $B280,
    INDIRECT("'" &amp; LOOKUP(2,1/($A$7:A280&lt;&gt;""),$A$7:A280) &amp; "'!E:E"), "&gt;=" &amp; ($B$3-6),
    INDIRECT("'" &amp; LOOKUP(2,1/($A$7:A280&lt;&gt;""),$A$7:A280) &amp; "'!E:E"), "&lt;=" &amp; $B$3
  ),
0)</f>
        <v>0</v>
      </c>
    </row>
    <row r="281" spans="1:4" ht="50" customHeight="1" x14ac:dyDescent="0.2">
      <c r="A281" s="43"/>
      <c r="B281" s="51" t="s">
        <v>190</v>
      </c>
      <c r="C281" s="28">
        <f ca="1">IFERROR(
   COUNTIF(INDIRECT("'" &amp; LOOKUP("zzz",$A$7:A281) &amp; "'!C:C"), B281),
   0
)</f>
        <v>0</v>
      </c>
      <c r="D281" s="41" cm="1">
        <f t="array" aca="1" ref="D281" ca="1">IFERROR(
  COUNTIFS(
    INDIRECT("'" &amp; LOOKUP(2,1/($A$7:A281&lt;&gt;""),$A$7:A281) &amp; "'!C:C"), $B281,
    INDIRECT("'" &amp; LOOKUP(2,1/($A$7:A281&lt;&gt;""),$A$7:A281) &amp; "'!E:E"), "&gt;=" &amp; ($B$3-6),
    INDIRECT("'" &amp; LOOKUP(2,1/($A$7:A281&lt;&gt;""),$A$7:A281) &amp; "'!E:E"), "&lt;=" &amp; $B$3
  ),
0)</f>
        <v>0</v>
      </c>
    </row>
    <row r="282" spans="1:4" ht="50" customHeight="1" x14ac:dyDescent="0.2">
      <c r="A282" s="43"/>
      <c r="B282" s="51" t="s">
        <v>318</v>
      </c>
      <c r="C282" s="28">
        <f ca="1">IFERROR(
   COUNTIF(INDIRECT("'" &amp; LOOKUP("zzz",$A$7:A282) &amp; "'!C:C"), B282),
   0
)</f>
        <v>0</v>
      </c>
      <c r="D282" s="41" cm="1">
        <f t="array" aca="1" ref="D282" ca="1">IFERROR(
  COUNTIFS(
    INDIRECT("'" &amp; LOOKUP(2,1/($A$7:A282&lt;&gt;""),$A$7:A282) &amp; "'!C:C"), $B282,
    INDIRECT("'" &amp; LOOKUP(2,1/($A$7:A282&lt;&gt;""),$A$7:A282) &amp; "'!E:E"), "&gt;=" &amp; ($B$3-6),
    INDIRECT("'" &amp; LOOKUP(2,1/($A$7:A282&lt;&gt;""),$A$7:A282) &amp; "'!E:E"), "&lt;=" &amp; $B$3
  ),
0)</f>
        <v>0</v>
      </c>
    </row>
    <row r="283" spans="1:4" ht="50" customHeight="1" x14ac:dyDescent="0.2">
      <c r="A283" s="43"/>
      <c r="B283" s="51" t="s">
        <v>315</v>
      </c>
      <c r="C283" s="28">
        <f ca="1">IFERROR(
   COUNTIF(INDIRECT("'" &amp; LOOKUP("zzz",$A$7:A283) &amp; "'!C:C"), B283),
   0
)</f>
        <v>0</v>
      </c>
      <c r="D283" s="41" cm="1">
        <f t="array" aca="1" ref="D283" ca="1">IFERROR(
  COUNTIFS(
    INDIRECT("'" &amp; LOOKUP(2,1/($A$7:A283&lt;&gt;""),$A$7:A283) &amp; "'!C:C"), $B283,
    INDIRECT("'" &amp; LOOKUP(2,1/($A$7:A283&lt;&gt;""),$A$7:A283) &amp; "'!E:E"), "&gt;=" &amp; ($B$3-6),
    INDIRECT("'" &amp; LOOKUP(2,1/($A$7:A283&lt;&gt;""),$A$7:A283) &amp; "'!E:E"), "&lt;=" &amp; $B$3
  ),
0)</f>
        <v>0</v>
      </c>
    </row>
    <row r="284" spans="1:4" ht="50" customHeight="1" x14ac:dyDescent="0.2">
      <c r="A284" s="43"/>
      <c r="B284" s="51" t="s">
        <v>212</v>
      </c>
      <c r="C284" s="28">
        <f ca="1">IFERROR(
   COUNTIF(INDIRECT("'" &amp; LOOKUP("zzz",$A$7:A284) &amp; "'!C:C"), B284),
   0
)</f>
        <v>0</v>
      </c>
      <c r="D284" s="41" cm="1">
        <f t="array" aca="1" ref="D284" ca="1">IFERROR(
  COUNTIFS(
    INDIRECT("'" &amp; LOOKUP(2,1/($A$7:A284&lt;&gt;""),$A$7:A284) &amp; "'!C:C"), $B284,
    INDIRECT("'" &amp; LOOKUP(2,1/($A$7:A284&lt;&gt;""),$A$7:A284) &amp; "'!E:E"), "&gt;=" &amp; ($B$3-6),
    INDIRECT("'" &amp; LOOKUP(2,1/($A$7:A284&lt;&gt;""),$A$7:A284) &amp; "'!E:E"), "&lt;=" &amp; $B$3
  ),
0)</f>
        <v>0</v>
      </c>
    </row>
    <row r="285" spans="1:4" ht="50" customHeight="1" x14ac:dyDescent="0.2">
      <c r="A285" s="43"/>
      <c r="B285" s="51" t="s">
        <v>115</v>
      </c>
      <c r="C285" s="28">
        <f ca="1">IFERROR(
   COUNTIF(INDIRECT("'" &amp; LOOKUP("zzz",$A$7:A285) &amp; "'!C:C"), B285),
   0
)</f>
        <v>0</v>
      </c>
      <c r="D285" s="41" cm="1">
        <f t="array" aca="1" ref="D285" ca="1">IFERROR(
  COUNTIFS(
    INDIRECT("'" &amp; LOOKUP(2,1/($A$7:A285&lt;&gt;""),$A$7:A285) &amp; "'!C:C"), $B285,
    INDIRECT("'" &amp; LOOKUP(2,1/($A$7:A285&lt;&gt;""),$A$7:A285) &amp; "'!E:E"), "&gt;=" &amp; ($B$3-6),
    INDIRECT("'" &amp; LOOKUP(2,1/($A$7:A285&lt;&gt;""),$A$7:A285) &amp; "'!E:E"), "&lt;=" &amp; $B$3
  ),
0)</f>
        <v>0</v>
      </c>
    </row>
    <row r="286" spans="1:4" ht="50" customHeight="1" x14ac:dyDescent="0.2">
      <c r="A286" s="43"/>
      <c r="B286" s="51" t="s">
        <v>155</v>
      </c>
      <c r="C286" s="28">
        <f ca="1">IFERROR(
   COUNTIF(INDIRECT("'" &amp; LOOKUP("zzz",$A$7:A286) &amp; "'!C:C"), B286),
   0
)</f>
        <v>0</v>
      </c>
      <c r="D286" s="41" cm="1">
        <f t="array" aca="1" ref="D286" ca="1">IFERROR(
  COUNTIFS(
    INDIRECT("'" &amp; LOOKUP(2,1/($A$7:A286&lt;&gt;""),$A$7:A286) &amp; "'!C:C"), $B286,
    INDIRECT("'" &amp; LOOKUP(2,1/($A$7:A286&lt;&gt;""),$A$7:A286) &amp; "'!E:E"), "&gt;=" &amp; ($B$3-6),
    INDIRECT("'" &amp; LOOKUP(2,1/($A$7:A286&lt;&gt;""),$A$7:A286) &amp; "'!E:E"), "&lt;=" &amp; $B$3
  ),
0)</f>
        <v>0</v>
      </c>
    </row>
    <row r="287" spans="1:4" ht="50" customHeight="1" x14ac:dyDescent="0.2">
      <c r="A287" s="43"/>
      <c r="B287" s="51" t="s">
        <v>79</v>
      </c>
      <c r="C287" s="28">
        <f ca="1">IFERROR(
   COUNTIF(INDIRECT("'" &amp; LOOKUP("zzz",$A$7:A287) &amp; "'!C:C"), B287),
   0
)</f>
        <v>0</v>
      </c>
      <c r="D287" s="41" cm="1">
        <f t="array" aca="1" ref="D287" ca="1">IFERROR(
  COUNTIFS(
    INDIRECT("'" &amp; LOOKUP(2,1/($A$7:A287&lt;&gt;""),$A$7:A287) &amp; "'!C:C"), $B287,
    INDIRECT("'" &amp; LOOKUP(2,1/($A$7:A287&lt;&gt;""),$A$7:A287) &amp; "'!E:E"), "&gt;=" &amp; ($B$3-6),
    INDIRECT("'" &amp; LOOKUP(2,1/($A$7:A287&lt;&gt;""),$A$7:A287) &amp; "'!E:E"), "&lt;=" &amp; $B$3
  ),
0)</f>
        <v>0</v>
      </c>
    </row>
    <row r="288" spans="1:4" ht="50" customHeight="1" x14ac:dyDescent="0.2">
      <c r="A288" s="28"/>
      <c r="B288" s="32" t="s">
        <v>98</v>
      </c>
      <c r="C288" s="28">
        <f ca="1">IFERROR(
   COUNTIF(INDIRECT("'" &amp; LOOKUP("zzz",$A$7:A288) &amp; "'!C:C"), B288),
   0
)</f>
        <v>0</v>
      </c>
      <c r="D288" s="41" cm="1">
        <f t="array" aca="1" ref="D288" ca="1">IFERROR(
  COUNTIFS(
    INDIRECT("'" &amp; LOOKUP(2,1/($A$7:A288&lt;&gt;""),$A$7:A288) &amp; "'!C:C"), $B288,
    INDIRECT("'" &amp; LOOKUP(2,1/($A$7:A288&lt;&gt;""),$A$7:A288) &amp; "'!E:E"), "&gt;=" &amp; ($B$3-6),
    INDIRECT("'" &amp; LOOKUP(2,1/($A$7:A288&lt;&gt;""),$A$7:A288) &amp; "'!E:E"), "&lt;=" &amp; $B$3
  ),
0)</f>
        <v>0</v>
      </c>
    </row>
    <row r="289" spans="1:4" ht="50" customHeight="1" x14ac:dyDescent="0.2">
      <c r="A289" s="28"/>
      <c r="B289" s="32" t="s">
        <v>387</v>
      </c>
      <c r="C289" s="28">
        <f ca="1">IFERROR(
   COUNTIF(INDIRECT("'" &amp; LOOKUP("zzz",$A$7:A289) &amp; "'!C:C"), B289),
   0
)</f>
        <v>0</v>
      </c>
      <c r="D289" s="72" cm="1">
        <f t="array" aca="1" ref="D289" ca="1">IFERROR(
  COUNTIFS(
    INDIRECT("'" &amp; LOOKUP(2,1/($A$7:A289&lt;&gt;""),$A$7:A289) &amp; "'!C:C"), $B289,
    INDIRECT("'" &amp; LOOKUP(2,1/($A$7:A289&lt;&gt;""),$A$7:A289) &amp; "'!E:E"), "&gt;=" &amp; ($B$3-6),
    INDIRECT("'" &amp; LOOKUP(2,1/($A$7:A289&lt;&gt;""),$A$7:A289) &amp; "'!E:E"), "&lt;=" &amp; $B$3
  ),
0)</f>
        <v>0</v>
      </c>
    </row>
    <row r="290" spans="1:4" ht="50" customHeight="1" x14ac:dyDescent="0.2">
      <c r="A290" s="59" t="s">
        <v>21</v>
      </c>
      <c r="B290" s="48" t="s">
        <v>114</v>
      </c>
      <c r="C290" s="47">
        <f ca="1">IFERROR(
   COUNTIF(INDIRECT("'" &amp; LOOKUP("zzz",$A$7:A290) &amp; "'!C:C"), B290),
   0
)</f>
        <v>0</v>
      </c>
      <c r="D290" s="71" cm="1">
        <f t="array" aca="1" ref="D290" ca="1">IFERROR(
  COUNTIFS(
    INDIRECT("'" &amp; LOOKUP(2,1/($A$7:A290&lt;&gt;""),$A$7:A290) &amp; "'!C:C"), $B290,
    INDIRECT("'" &amp; LOOKUP(2,1/($A$7:A290&lt;&gt;""),$A$7:A290) &amp; "'!E:E"), "&gt;=" &amp; ($B$3-6),
    INDIRECT("'" &amp; LOOKUP(2,1/($A$7:A290&lt;&gt;""),$A$7:A290) &amp; "'!E:E"), "&lt;=" &amp; $B$3
  ),
0)</f>
        <v>0</v>
      </c>
    </row>
    <row r="291" spans="1:4" ht="50" customHeight="1" x14ac:dyDescent="0.2">
      <c r="A291" s="28"/>
      <c r="B291" s="32" t="s">
        <v>58</v>
      </c>
      <c r="C291" s="28">
        <f ca="1">IFERROR(
   COUNTIF(INDIRECT("'" &amp; LOOKUP("zzz",$A$7:A291) &amp; "'!C:C"), B291),
   0
)</f>
        <v>0</v>
      </c>
      <c r="D291" s="41" cm="1">
        <f t="array" aca="1" ref="D291" ca="1">IFERROR(
  COUNTIFS(
    INDIRECT("'" &amp; LOOKUP(2,1/($A$7:A291&lt;&gt;""),$A$7:A291) &amp; "'!C:C"), $B291,
    INDIRECT("'" &amp; LOOKUP(2,1/($A$7:A291&lt;&gt;""),$A$7:A291) &amp; "'!E:E"), "&gt;=" &amp; ($B$3-6),
    INDIRECT("'" &amp; LOOKUP(2,1/($A$7:A291&lt;&gt;""),$A$7:A291) &amp; "'!E:E"), "&lt;=" &amp; $B$3
  ),
0)</f>
        <v>0</v>
      </c>
    </row>
    <row r="292" spans="1:4" ht="50" customHeight="1" x14ac:dyDescent="0.2">
      <c r="A292" s="28"/>
      <c r="B292" s="32" t="s">
        <v>77</v>
      </c>
      <c r="C292" s="28">
        <f ca="1">IFERROR(
   COUNTIF(INDIRECT("'" &amp; LOOKUP("zzz",$A$7:A292) &amp; "'!C:C"), B292),
   0
)</f>
        <v>0</v>
      </c>
      <c r="D292" s="41" cm="1">
        <f t="array" aca="1" ref="D292" ca="1">IFERROR(
  COUNTIFS(
    INDIRECT("'" &amp; LOOKUP(2,1/($A$7:A292&lt;&gt;""),$A$7:A292) &amp; "'!C:C"), $B292,
    INDIRECT("'" &amp; LOOKUP(2,1/($A$7:A292&lt;&gt;""),$A$7:A292) &amp; "'!E:E"), "&gt;=" &amp; ($B$3-6),
    INDIRECT("'" &amp; LOOKUP(2,1/($A$7:A292&lt;&gt;""),$A$7:A292) &amp; "'!E:E"), "&lt;=" &amp; $B$3
  ),
0)</f>
        <v>0</v>
      </c>
    </row>
    <row r="293" spans="1:4" ht="50" customHeight="1" x14ac:dyDescent="0.2">
      <c r="A293" s="28"/>
      <c r="B293" s="32" t="s">
        <v>191</v>
      </c>
      <c r="C293" s="28">
        <f ca="1">IFERROR(
   COUNTIF(INDIRECT("'" &amp; LOOKUP("zzz",$A$7:A293) &amp; "'!C:C"), B293),
   0
)</f>
        <v>0</v>
      </c>
      <c r="D293" s="41" cm="1">
        <f t="array" aca="1" ref="D293" ca="1">IFERROR(
  COUNTIFS(
    INDIRECT("'" &amp; LOOKUP(2,1/($A$7:A293&lt;&gt;""),$A$7:A293) &amp; "'!C:C"), $B293,
    INDIRECT("'" &amp; LOOKUP(2,1/($A$7:A293&lt;&gt;""),$A$7:A293) &amp; "'!E:E"), "&gt;=" &amp; ($B$3-6),
    INDIRECT("'" &amp; LOOKUP(2,1/($A$7:A293&lt;&gt;""),$A$7:A293) &amp; "'!E:E"), "&lt;=" &amp; $B$3
  ),
0)</f>
        <v>0</v>
      </c>
    </row>
    <row r="294" spans="1:4" ht="50" customHeight="1" x14ac:dyDescent="0.2">
      <c r="A294" s="43"/>
      <c r="B294" s="51" t="s">
        <v>192</v>
      </c>
      <c r="C294" s="28">
        <f ca="1">IFERROR(
   COUNTIF(INDIRECT("'" &amp; LOOKUP("zzz",$A$7:A294) &amp; "'!C:C"), B294),
   0
)</f>
        <v>0</v>
      </c>
      <c r="D294" s="41" cm="1">
        <f t="array" aca="1" ref="D294" ca="1">IFERROR(
  COUNTIFS(
    INDIRECT("'" &amp; LOOKUP(2,1/($A$7:A294&lt;&gt;""),$A$7:A294) &amp; "'!C:C"), $B294,
    INDIRECT("'" &amp; LOOKUP(2,1/($A$7:A294&lt;&gt;""),$A$7:A294) &amp; "'!E:E"), "&gt;=" &amp; ($B$3-6),
    INDIRECT("'" &amp; LOOKUP(2,1/($A$7:A294&lt;&gt;""),$A$7:A294) &amp; "'!E:E"), "&lt;=" &amp; $B$3
  ),
0)</f>
        <v>0</v>
      </c>
    </row>
    <row r="295" spans="1:4" ht="50" customHeight="1" x14ac:dyDescent="0.2">
      <c r="A295" s="43"/>
      <c r="B295" s="51" t="s">
        <v>193</v>
      </c>
      <c r="C295" s="28">
        <f ca="1">IFERROR(
   COUNTIF(INDIRECT("'" &amp; LOOKUP("zzz",$A$7:A295) &amp; "'!C:C"), B295),
   0
)</f>
        <v>0</v>
      </c>
      <c r="D295" s="41" cm="1">
        <f t="array" aca="1" ref="D295" ca="1">IFERROR(
  COUNTIFS(
    INDIRECT("'" &amp; LOOKUP(2,1/($A$7:A295&lt;&gt;""),$A$7:A295) &amp; "'!C:C"), $B295,
    INDIRECT("'" &amp; LOOKUP(2,1/($A$7:A295&lt;&gt;""),$A$7:A295) &amp; "'!E:E"), "&gt;=" &amp; ($B$3-6),
    INDIRECT("'" &amp; LOOKUP(2,1/($A$7:A295&lt;&gt;""),$A$7:A295) &amp; "'!E:E"), "&lt;=" &amp; $B$3
  ),
0)</f>
        <v>0</v>
      </c>
    </row>
    <row r="296" spans="1:4" ht="50" customHeight="1" x14ac:dyDescent="0.2">
      <c r="A296" s="43"/>
      <c r="B296" s="51" t="s">
        <v>335</v>
      </c>
      <c r="C296" s="28">
        <f ca="1">IFERROR(
   COUNTIF(INDIRECT("'" &amp; LOOKUP("zzz",$A$7:A296) &amp; "'!C:C"), B296),
   0
)</f>
        <v>0</v>
      </c>
      <c r="D296" s="41" cm="1">
        <f t="array" aca="1" ref="D296" ca="1">IFERROR(
  COUNTIFS(
    INDIRECT("'" &amp; LOOKUP(2,1/($A$7:A296&lt;&gt;""),$A$7:A296) &amp; "'!C:C"), $B296,
    INDIRECT("'" &amp; LOOKUP(2,1/($A$7:A296&lt;&gt;""),$A$7:A296) &amp; "'!E:E"), "&gt;=" &amp; ($B$3-6),
    INDIRECT("'" &amp; LOOKUP(2,1/($A$7:A296&lt;&gt;""),$A$7:A296) &amp; "'!E:E"), "&lt;=" &amp; $B$3
  ),
0)</f>
        <v>0</v>
      </c>
    </row>
    <row r="297" spans="1:4" ht="50" customHeight="1" x14ac:dyDescent="0.2">
      <c r="A297" s="43"/>
      <c r="B297" s="51" t="s">
        <v>316</v>
      </c>
      <c r="C297" s="28">
        <f ca="1">IFERROR(
   COUNTIF(INDIRECT("'" &amp; LOOKUP("zzz",$A$7:A297) &amp; "'!C:C"), B297),
   0
)</f>
        <v>0</v>
      </c>
      <c r="D297" s="41" cm="1">
        <f t="array" aca="1" ref="D297" ca="1">IFERROR(
  COUNTIFS(
    INDIRECT("'" &amp; LOOKUP(2,1/($A$7:A297&lt;&gt;""),$A$7:A297) &amp; "'!C:C"), $B297,
    INDIRECT("'" &amp; LOOKUP(2,1/($A$7:A297&lt;&gt;""),$A$7:A297) &amp; "'!E:E"), "&gt;=" &amp; ($B$3-6),
    INDIRECT("'" &amp; LOOKUP(2,1/($A$7:A297&lt;&gt;""),$A$7:A297) &amp; "'!E:E"), "&lt;=" &amp; $B$3
  ),
0)</f>
        <v>0</v>
      </c>
    </row>
    <row r="298" spans="1:4" ht="50" customHeight="1" x14ac:dyDescent="0.2">
      <c r="A298" s="52"/>
      <c r="B298" s="55" t="s">
        <v>349</v>
      </c>
      <c r="C298" s="52">
        <f ca="1">IFERROR(
   COUNTIF(INDIRECT("'" &amp; LOOKUP("zzz",$A$7:A298) &amp; "'!C:C"), B298),
   0
)</f>
        <v>0</v>
      </c>
      <c r="D298" s="85" cm="1">
        <f t="array" aca="1" ref="D298" ca="1">IFERROR(
  COUNTIFS(
    INDIRECT("'" &amp; LOOKUP(2,1/($A$7:A298&lt;&gt;""),$A$7:A298) &amp; "'!C:C"), $B298,
    INDIRECT("'" &amp; LOOKUP(2,1/($A$7:A298&lt;&gt;""),$A$7:A298) &amp; "'!E:E"), "&gt;=" &amp; ($B$3-6),
    INDIRECT("'" &amp; LOOKUP(2,1/($A$7:A298&lt;&gt;""),$A$7:A298) &amp; "'!E:E"), "&lt;=" &amp; $B$3
  ),
0)</f>
        <v>0</v>
      </c>
    </row>
    <row r="299" spans="1:4" ht="50" customHeight="1" x14ac:dyDescent="0.2">
      <c r="A299" s="39" t="s">
        <v>320</v>
      </c>
      <c r="B299" s="35" t="s">
        <v>210</v>
      </c>
      <c r="C299" s="30">
        <f ca="1">IFERROR(
   COUNTIF(INDIRECT("'" &amp; LOOKUP("zzz",$A$7:A299) &amp; "'!C:C"), B299),
   0
)</f>
        <v>0</v>
      </c>
      <c r="D299" s="42" cm="1">
        <f t="array" aca="1" ref="D299" ca="1">IFERROR(
  COUNTIFS(
    INDIRECT("'" &amp; LOOKUP(2,1/($A$7:A299&lt;&gt;""),$A$7:A299) &amp; "'!C:C"), $B299,
    INDIRECT("'" &amp; LOOKUP(2,1/($A$7:A299&lt;&gt;""),$A$7:A299) &amp; "'!E:E"), "&gt;=" &amp; ($B$3-6),
    INDIRECT("'" &amp; LOOKUP(2,1/($A$7:A299&lt;&gt;""),$A$7:A299) &amp; "'!E:E"), "&lt;=" &amp; $B$3
  ),
0)</f>
        <v>0</v>
      </c>
    </row>
    <row r="300" spans="1:4" ht="50" customHeight="1" x14ac:dyDescent="0.2">
      <c r="A300" s="39"/>
      <c r="B300" s="35" t="s">
        <v>211</v>
      </c>
      <c r="C300" s="28">
        <f ca="1">IFERROR(
   COUNTIF(INDIRECT("'" &amp; LOOKUP("zzz",$A$7:A300) &amp; "'!C:C"), B300),
   0
)</f>
        <v>0</v>
      </c>
      <c r="D300" s="41" cm="1">
        <f t="array" aca="1" ref="D300" ca="1">IFERROR(
  COUNTIFS(
    INDIRECT("'" &amp; LOOKUP(2,1/($A$7:A300&lt;&gt;""),$A$7:A300) &amp; "'!C:C"), $B300,
    INDIRECT("'" &amp; LOOKUP(2,1/($A$7:A300&lt;&gt;""),$A$7:A300) &amp; "'!E:E"), "&gt;=" &amp; ($B$3-6),
    INDIRECT("'" &amp; LOOKUP(2,1/($A$7:A300&lt;&gt;""),$A$7:A300) &amp; "'!E:E"), "&lt;=" &amp; $B$3
  ),
0)</f>
        <v>0</v>
      </c>
    </row>
    <row r="301" spans="1:4" ht="50" customHeight="1" x14ac:dyDescent="0.2">
      <c r="A301" s="39"/>
      <c r="B301" s="33" t="s">
        <v>336</v>
      </c>
      <c r="C301" s="28">
        <f ca="1">IFERROR(
   COUNTIF(INDIRECT("'" &amp; LOOKUP("zzz",$A$7:A301) &amp; "'!C:C"), B301),
   0
)</f>
        <v>0</v>
      </c>
      <c r="D301" s="41" cm="1">
        <f t="array" aca="1" ref="D301" ca="1">IFERROR(
  COUNTIFS(
    INDIRECT("'" &amp; LOOKUP(2,1/($A$7:A301&lt;&gt;""),$A$7:A301) &amp; "'!C:C"), $B301,
    INDIRECT("'" &amp; LOOKUP(2,1/($A$7:A301&lt;&gt;""),$A$7:A301) &amp; "'!E:E"), "&gt;=" &amp; ($B$3-6),
    INDIRECT("'" &amp; LOOKUP(2,1/($A$7:A301&lt;&gt;""),$A$7:A301) &amp; "'!E:E"), "&lt;=" &amp; $B$3
  ),
0)</f>
        <v>0</v>
      </c>
    </row>
    <row r="302" spans="1:4" ht="50" customHeight="1" x14ac:dyDescent="0.2">
      <c r="A302" s="39"/>
      <c r="B302" s="33" t="s">
        <v>116</v>
      </c>
      <c r="C302" s="28">
        <f ca="1">IFERROR(
   COUNTIF(INDIRECT("'" &amp; LOOKUP("zzz",$A$7:A302) &amp; "'!C:C"), B302),
   0
)</f>
        <v>0</v>
      </c>
      <c r="D302" s="41" cm="1">
        <f t="array" aca="1" ref="D302" ca="1">IFERROR(
  COUNTIFS(
    INDIRECT("'" &amp; LOOKUP(2,1/($A$7:A302&lt;&gt;""),$A$7:A302) &amp; "'!C:C"), $B302,
    INDIRECT("'" &amp; LOOKUP(2,1/($A$7:A302&lt;&gt;""),$A$7:A302) &amp; "'!E:E"), "&gt;=" &amp; ($B$3-6),
    INDIRECT("'" &amp; LOOKUP(2,1/($A$7:A302&lt;&gt;""),$A$7:A302) &amp; "'!E:E"), "&lt;=" &amp; $B$3
  ),
0)</f>
        <v>0</v>
      </c>
    </row>
    <row r="303" spans="1:4" ht="50" customHeight="1" x14ac:dyDescent="0.2">
      <c r="A303" s="39"/>
      <c r="B303" s="33" t="s">
        <v>61</v>
      </c>
      <c r="C303" s="28">
        <f ca="1">IFERROR(
   COUNTIF(INDIRECT("'" &amp; LOOKUP("zzz",$A$7:A303) &amp; "'!C:C"), B303),
   0
)</f>
        <v>0</v>
      </c>
      <c r="D303" s="41" cm="1">
        <f t="array" aca="1" ref="D303" ca="1">IFERROR(
  COUNTIFS(
    INDIRECT("'" &amp; LOOKUP(2,1/($A$7:A303&lt;&gt;""),$A$7:A303) &amp; "'!C:C"), $B303,
    INDIRECT("'" &amp; LOOKUP(2,1/($A$7:A303&lt;&gt;""),$A$7:A303) &amp; "'!E:E"), "&gt;=" &amp; ($B$3-6),
    INDIRECT("'" &amp; LOOKUP(2,1/($A$7:A303&lt;&gt;""),$A$7:A303) &amp; "'!E:E"), "&lt;=" &amp; $B$3
  ),
0)</f>
        <v>0</v>
      </c>
    </row>
    <row r="304" spans="1:4" ht="50" customHeight="1" x14ac:dyDescent="0.2">
      <c r="A304" s="39"/>
      <c r="B304" s="33" t="s">
        <v>136</v>
      </c>
      <c r="C304" s="28">
        <f ca="1">IFERROR(
   COUNTIF(INDIRECT("'" &amp; LOOKUP("zzz",$A$7:A304) &amp; "'!C:C"), B304),
   0
)</f>
        <v>0</v>
      </c>
      <c r="D304" s="41" cm="1">
        <f t="array" aca="1" ref="D304" ca="1">IFERROR(
  COUNTIFS(
    INDIRECT("'" &amp; LOOKUP(2,1/($A$7:A304&lt;&gt;""),$A$7:A304) &amp; "'!C:C"), $B304,
    INDIRECT("'" &amp; LOOKUP(2,1/($A$7:A304&lt;&gt;""),$A$7:A304) &amp; "'!E:E"), "&gt;=" &amp; ($B$3-6),
    INDIRECT("'" &amp; LOOKUP(2,1/($A$7:A304&lt;&gt;""),$A$7:A304) &amp; "'!E:E"), "&lt;=" &amp; $B$3
  ),
0)</f>
        <v>0</v>
      </c>
    </row>
    <row r="305" spans="1:4" ht="50" customHeight="1" x14ac:dyDescent="0.2">
      <c r="A305" s="39"/>
      <c r="B305" s="33" t="s">
        <v>130</v>
      </c>
      <c r="C305" s="28">
        <f ca="1">IFERROR(
   COUNTIF(INDIRECT("'" &amp; LOOKUP("zzz",$A$7:A305) &amp; "'!C:C"), B305),
   0
)</f>
        <v>0</v>
      </c>
      <c r="D305" s="41" cm="1">
        <f t="array" aca="1" ref="D305" ca="1">IFERROR(
  COUNTIFS(
    INDIRECT("'" &amp; LOOKUP(2,1/($A$7:A305&lt;&gt;""),$A$7:A305) &amp; "'!C:C"), $B305,
    INDIRECT("'" &amp; LOOKUP(2,1/($A$7:A305&lt;&gt;""),$A$7:A305) &amp; "'!E:E"), "&gt;=" &amp; ($B$3-6),
    INDIRECT("'" &amp; LOOKUP(2,1/($A$7:A305&lt;&gt;""),$A$7:A305) &amp; "'!E:E"), "&lt;=" &amp; $B$3
  ),
0)</f>
        <v>0</v>
      </c>
    </row>
    <row r="306" spans="1:4" ht="50" customHeight="1" x14ac:dyDescent="0.2">
      <c r="A306" s="39"/>
      <c r="B306" s="33" t="s">
        <v>314</v>
      </c>
      <c r="C306" s="28">
        <f ca="1">IFERROR(
   COUNTIF(INDIRECT("'" &amp; LOOKUP("zzz",$A$7:A306) &amp; "'!C:C"), B306),
   0
)</f>
        <v>0</v>
      </c>
      <c r="D306" s="41" cm="1">
        <f t="array" aca="1" ref="D306" ca="1">IFERROR(
  COUNTIFS(
    INDIRECT("'" &amp; LOOKUP(2,1/($A$7:A306&lt;&gt;""),$A$7:A306) &amp; "'!C:C"), $B306,
    INDIRECT("'" &amp; LOOKUP(2,1/($A$7:A306&lt;&gt;""),$A$7:A306) &amp; "'!E:E"), "&gt;=" &amp; ($B$3-6),
    INDIRECT("'" &amp; LOOKUP(2,1/($A$7:A306&lt;&gt;""),$A$7:A306) &amp; "'!E:E"), "&lt;=" &amp; $B$3
  ),
0)</f>
        <v>0</v>
      </c>
    </row>
    <row r="307" spans="1:4" ht="50" customHeight="1" x14ac:dyDescent="0.2">
      <c r="A307" s="28"/>
      <c r="B307" s="33" t="s">
        <v>63</v>
      </c>
      <c r="C307" s="28">
        <f ca="1">IFERROR(
   COUNTIF(INDIRECT("'" &amp; LOOKUP("zzz",$A$7:A307) &amp; "'!C:C"), B307),
   0
)</f>
        <v>0</v>
      </c>
      <c r="D307" s="41" cm="1">
        <f t="array" aca="1" ref="D307" ca="1">IFERROR(
  COUNTIFS(
    INDIRECT("'" &amp; LOOKUP(2,1/($A$7:A307&lt;&gt;""),$A$7:A307) &amp; "'!C:C"), $B307,
    INDIRECT("'" &amp; LOOKUP(2,1/($A$7:A307&lt;&gt;""),$A$7:A307) &amp; "'!E:E"), "&gt;=" &amp; ($B$3-6),
    INDIRECT("'" &amp; LOOKUP(2,1/($A$7:A307&lt;&gt;""),$A$7:A307) &amp; "'!E:E"), "&lt;=" &amp; $B$3
  ),
0)</f>
        <v>0</v>
      </c>
    </row>
    <row r="308" spans="1:4" ht="50" customHeight="1" x14ac:dyDescent="0.2">
      <c r="A308" s="60"/>
      <c r="B308" s="61" t="s">
        <v>388</v>
      </c>
      <c r="C308" s="43">
        <f ca="1">IFERROR(
   COUNTIF(INDIRECT("'" &amp; LOOKUP("zzz",$A$7:A308) &amp; "'!C:C"), B308),
   0
)</f>
        <v>0</v>
      </c>
      <c r="D308" s="72" cm="1">
        <f t="array" aca="1" ref="D308" ca="1">IFERROR(
  COUNTIFS(
    INDIRECT("'" &amp; LOOKUP(2,1/($A$7:A308&lt;&gt;""),$A$7:A308) &amp; "'!C:C"), $B308,
    INDIRECT("'" &amp; LOOKUP(2,1/($A$7:A308&lt;&gt;""),$A$7:A308) &amp; "'!E:E"), "&gt;=" &amp; ($B$3-6),
    INDIRECT("'" &amp; LOOKUP(2,1/($A$7:A308&lt;&gt;""),$A$7:A308) &amp; "'!E:E"), "&lt;=" &amp; $B$3
  ),
0)</f>
        <v>0</v>
      </c>
    </row>
    <row r="309" spans="1:4" ht="50" customHeight="1" x14ac:dyDescent="0.2">
      <c r="A309" s="59" t="s">
        <v>205</v>
      </c>
      <c r="B309" s="48" t="s">
        <v>213</v>
      </c>
      <c r="C309" s="47">
        <f ca="1">IFERROR(
   COUNTIF(INDIRECT("'" &amp; LOOKUP("zzz",$A$7:A309) &amp; "'!C:C"), B309),
   0
)</f>
        <v>0</v>
      </c>
      <c r="D309" s="71" cm="1">
        <f t="array" aca="1" ref="D309" ca="1">IFERROR(
  COUNTIFS(
    INDIRECT("'" &amp; LOOKUP(2,1/($A$7:A309&lt;&gt;""),$A$7:A309) &amp; "'!C:C"), $B309,
    INDIRECT("'" &amp; LOOKUP(2,1/($A$7:A309&lt;&gt;""),$A$7:A309) &amp; "'!E:E"), "&gt;=" &amp; ($B$3-6),
    INDIRECT("'" &amp; LOOKUP(2,1/($A$7:A309&lt;&gt;""),$A$7:A309) &amp; "'!E:E"), "&lt;=" &amp; $B$3
  ),
0)</f>
        <v>0</v>
      </c>
    </row>
    <row r="310" spans="1:4" ht="50" customHeight="1" x14ac:dyDescent="0.2">
      <c r="A310" s="39"/>
      <c r="B310" s="34" t="s">
        <v>214</v>
      </c>
      <c r="C310" s="30">
        <f ca="1">IFERROR(
   COUNTIF(INDIRECT("'" &amp; LOOKUP("zzz",$A$7:A310) &amp; "'!C:C"), B310),
   0
)</f>
        <v>0</v>
      </c>
      <c r="D310" s="42" cm="1">
        <f t="array" aca="1" ref="D310" ca="1">IFERROR(
  COUNTIFS(
    INDIRECT("'" &amp; LOOKUP(2,1/($A$7:A310&lt;&gt;""),$A$7:A310) &amp; "'!C:C"), $B310,
    INDIRECT("'" &amp; LOOKUP(2,1/($A$7:A310&lt;&gt;""),$A$7:A310) &amp; "'!E:E"), "&gt;=" &amp; ($B$3-6),
    INDIRECT("'" &amp; LOOKUP(2,1/($A$7:A310&lt;&gt;""),$A$7:A310) &amp; "'!E:E"), "&lt;=" &amp; $B$3
  ),
0)</f>
        <v>0</v>
      </c>
    </row>
    <row r="311" spans="1:4" ht="50" customHeight="1" x14ac:dyDescent="0.2">
      <c r="A311" s="39"/>
      <c r="B311" s="34" t="s">
        <v>337</v>
      </c>
      <c r="C311" s="30">
        <f ca="1">IFERROR(
   COUNTIF(INDIRECT("'" &amp; LOOKUP("zzz",$A$7:A311) &amp; "'!C:C"), B311),
   0
)</f>
        <v>0</v>
      </c>
      <c r="D311" s="42" cm="1">
        <f t="array" aca="1" ref="D311" ca="1">IFERROR(
  COUNTIFS(
    INDIRECT("'" &amp; LOOKUP(2,1/($A$7:A311&lt;&gt;""),$A$7:A311) &amp; "'!C:C"), $B311,
    INDIRECT("'" &amp; LOOKUP(2,1/($A$7:A311&lt;&gt;""),$A$7:A311) &amp; "'!E:E"), "&gt;=" &amp; ($B$3-6),
    INDIRECT("'" &amp; LOOKUP(2,1/($A$7:A311&lt;&gt;""),$A$7:A311) &amp; "'!E:E"), "&lt;=" &amp; $B$3
  ),
0)</f>
        <v>0</v>
      </c>
    </row>
    <row r="312" spans="1:4" ht="50" customHeight="1" x14ac:dyDescent="0.2">
      <c r="A312" s="39"/>
      <c r="B312" s="34" t="s">
        <v>389</v>
      </c>
      <c r="C312" s="30">
        <f ca="1">IFERROR(
   COUNTIF(INDIRECT("'" &amp; LOOKUP("zzz",$A$7:A312) &amp; "'!C:C"), B312),
   0
)</f>
        <v>0</v>
      </c>
      <c r="D312" s="42" cm="1">
        <f t="array" aca="1" ref="D312" ca="1">IFERROR(
  COUNTIFS(
    INDIRECT("'" &amp; LOOKUP(2,1/($A$7:A312&lt;&gt;""),$A$7:A312) &amp; "'!C:C"), $B312,
    INDIRECT("'" &amp; LOOKUP(2,1/($A$7:A312&lt;&gt;""),$A$7:A312) &amp; "'!E:E"), "&gt;=" &amp; ($B$3-6),
    INDIRECT("'" &amp; LOOKUP(2,1/($A$7:A312&lt;&gt;""),$A$7:A312) &amp; "'!E:E"), "&lt;=" &amp; $B$3
  ),
0)</f>
        <v>0</v>
      </c>
    </row>
    <row r="313" spans="1:4" ht="50" customHeight="1" x14ac:dyDescent="0.2">
      <c r="A313" s="39"/>
      <c r="B313" s="34" t="s">
        <v>209</v>
      </c>
      <c r="C313" s="30">
        <f ca="1">IFERROR(
   COUNTIF(INDIRECT("'" &amp; LOOKUP("zzz",$A$7:A313) &amp; "'!C:C"), B313),
   0
)</f>
        <v>0</v>
      </c>
      <c r="D313" s="42" cm="1">
        <f t="array" aca="1" ref="D313" ca="1">IFERROR(
  COUNTIFS(
    INDIRECT("'" &amp; LOOKUP(2,1/($A$7:A313&lt;&gt;""),$A$7:A313) &amp; "'!C:C"), $B313,
    INDIRECT("'" &amp; LOOKUP(2,1/($A$7:A313&lt;&gt;""),$A$7:A313) &amp; "'!E:E"), "&gt;=" &amp; ($B$3-6),
    INDIRECT("'" &amp; LOOKUP(2,1/($A$7:A313&lt;&gt;""),$A$7:A313) &amp; "'!E:E"), "&lt;=" &amp; $B$3
  ),
0)</f>
        <v>0</v>
      </c>
    </row>
    <row r="314" spans="1:4" ht="50" customHeight="1" x14ac:dyDescent="0.2">
      <c r="A314" s="39"/>
      <c r="B314" s="34" t="s">
        <v>390</v>
      </c>
      <c r="C314" s="30">
        <f ca="1">IFERROR(
   COUNTIF(INDIRECT("'" &amp; LOOKUP("zzz",$A$7:A314) &amp; "'!C:C"), B314),
   0
)</f>
        <v>0</v>
      </c>
      <c r="D314" s="42" cm="1">
        <f t="array" aca="1" ref="D314" ca="1">IFERROR(
  COUNTIFS(
    INDIRECT("'" &amp; LOOKUP(2,1/($A$7:A314&lt;&gt;""),$A$7:A314) &amp; "'!C:C"), $B314,
    INDIRECT("'" &amp; LOOKUP(2,1/($A$7:A314&lt;&gt;""),$A$7:A314) &amp; "'!E:E"), "&gt;=" &amp; ($B$3-6),
    INDIRECT("'" &amp; LOOKUP(2,1/($A$7:A314&lt;&gt;""),$A$7:A314) &amp; "'!E:E"), "&lt;=" &amp; $B$3
  ),
0)</f>
        <v>0</v>
      </c>
    </row>
    <row r="315" spans="1:4" ht="50" customHeight="1" x14ac:dyDescent="0.2">
      <c r="A315" s="29"/>
      <c r="B315" s="32" t="s">
        <v>391</v>
      </c>
      <c r="C315" s="28">
        <f ca="1">IFERROR(
   COUNTIF(INDIRECT("'" &amp; LOOKUP("zzz",$A$7:A315) &amp; "'!C:C"), B315),
   0
)</f>
        <v>0</v>
      </c>
      <c r="D315" s="41" cm="1">
        <f t="array" aca="1" ref="D315" ca="1">IFERROR(
  COUNTIFS(
    INDIRECT("'" &amp; LOOKUP(2,1/($A$7:A315&lt;&gt;""),$A$7:A315) &amp; "'!C:C"), $B315,
    INDIRECT("'" &amp; LOOKUP(2,1/($A$7:A315&lt;&gt;""),$A$7:A315) &amp; "'!E:E"), "&gt;=" &amp; ($B$3-6),
    INDIRECT("'" &amp; LOOKUP(2,1/($A$7:A315&lt;&gt;""),$A$7:A315) &amp; "'!E:E"), "&lt;=" &amp; $B$3
  ),
0)</f>
        <v>0</v>
      </c>
    </row>
    <row r="316" spans="1:4" ht="50" customHeight="1" x14ac:dyDescent="0.2">
      <c r="A316" s="40"/>
      <c r="B316" s="38" t="s">
        <v>392</v>
      </c>
      <c r="C316" s="37">
        <f ca="1">IFERROR(
   COUNTIF(INDIRECT("'" &amp; LOOKUP("zzz",$A$7:A316) &amp; "'!C:C"), B316),
   0
)</f>
        <v>0</v>
      </c>
      <c r="D316" s="72" cm="1">
        <f t="array" aca="1" ref="D316" ca="1">IFERROR(
  COUNTIFS(
    INDIRECT("'" &amp; LOOKUP(2,1/($A$7:A316&lt;&gt;""),$A$7:A316) &amp; "'!C:C"), $B316,
    INDIRECT("'" &amp; LOOKUP(2,1/($A$7:A316&lt;&gt;""),$A$7:A316) &amp; "'!E:E"), "&gt;=" &amp; ($B$3-6),
    INDIRECT("'" &amp; LOOKUP(2,1/($A$7:A316&lt;&gt;""),$A$7:A316) &amp; "'!E:E"), "&lt;=" &amp; $B$3
  ),
0)</f>
        <v>0</v>
      </c>
    </row>
    <row r="317" spans="1:4" ht="50" customHeight="1" x14ac:dyDescent="0.2">
      <c r="A317" s="39" t="s">
        <v>265</v>
      </c>
      <c r="B317" s="35" t="s">
        <v>267</v>
      </c>
      <c r="C317" s="30">
        <f ca="1">IFERROR(
   COUNTIF(INDIRECT("'" &amp; LOOKUP("zzz",$A$7:A317) &amp; "'!C:C"), B317),
   0
)</f>
        <v>0</v>
      </c>
      <c r="D317" s="71" cm="1">
        <f t="array" aca="1" ref="D317" ca="1">IFERROR(
  COUNTIFS(
    INDIRECT("'" &amp; LOOKUP(2,1/($A$7:A317&lt;&gt;""),$A$7:A317) &amp; "'!C:C"), $B317,
    INDIRECT("'" &amp; LOOKUP(2,1/($A$7:A317&lt;&gt;""),$A$7:A317) &amp; "'!E:E"), "&gt;=" &amp; ($B$3-6),
    INDIRECT("'" &amp; LOOKUP(2,1/($A$7:A317&lt;&gt;""),$A$7:A317) &amp; "'!E:E"), "&lt;=" &amp; $B$3
  ),
0)</f>
        <v>0</v>
      </c>
    </row>
    <row r="318" spans="1:4" ht="50" customHeight="1" x14ac:dyDescent="0.2">
      <c r="A318" s="39"/>
      <c r="B318" s="35" t="s">
        <v>266</v>
      </c>
      <c r="C318" s="28">
        <f ca="1">IFERROR(
   COUNTIF(INDIRECT("'" &amp; LOOKUP("zzz",$A$7:A318) &amp; "'!C:C"), B318),
   0
)</f>
        <v>0</v>
      </c>
      <c r="D318" s="41" cm="1">
        <f t="array" aca="1" ref="D318" ca="1">IFERROR(
  COUNTIFS(
    INDIRECT("'" &amp; LOOKUP(2,1/($A$7:A318&lt;&gt;""),$A$7:A318) &amp; "'!C:C"), $B318,
    INDIRECT("'" &amp; LOOKUP(2,1/($A$7:A318&lt;&gt;""),$A$7:A318) &amp; "'!E:E"), "&gt;=" &amp; ($B$3-6),
    INDIRECT("'" &amp; LOOKUP(2,1/($A$7:A318&lt;&gt;""),$A$7:A318) &amp; "'!E:E"), "&lt;=" &amp; $B$3
  ),
0)</f>
        <v>0</v>
      </c>
    </row>
    <row r="319" spans="1:4" ht="50" customHeight="1" x14ac:dyDescent="0.2">
      <c r="A319" s="28"/>
      <c r="B319" s="33" t="s">
        <v>268</v>
      </c>
      <c r="C319" s="28">
        <f ca="1">IFERROR(
   COUNTIF(INDIRECT("'" &amp; LOOKUP("zzz",$A$7:A319) &amp; "'!C:C"), B319),
   0
)</f>
        <v>0</v>
      </c>
      <c r="D319" s="41" cm="1">
        <f t="array" aca="1" ref="D319" ca="1">IFERROR(
  COUNTIFS(
    INDIRECT("'" &amp; LOOKUP(2,1/($A$7:A319&lt;&gt;""),$A$7:A319) &amp; "'!C:C"), $B319,
    INDIRECT("'" &amp; LOOKUP(2,1/($A$7:A319&lt;&gt;""),$A$7:A319) &amp; "'!E:E"), "&gt;=" &amp; ($B$3-6),
    INDIRECT("'" &amp; LOOKUP(2,1/($A$7:A319&lt;&gt;""),$A$7:A319) &amp; "'!E:E"), "&lt;=" &amp; $B$3
  ),
0)</f>
        <v>0</v>
      </c>
    </row>
    <row r="320" spans="1:4" ht="50" customHeight="1" x14ac:dyDescent="0.2">
      <c r="A320" s="39"/>
      <c r="B320" s="35" t="s">
        <v>271</v>
      </c>
      <c r="C320" s="28">
        <f ca="1">IFERROR(
   COUNTIF(INDIRECT("'" &amp; LOOKUP("zzz",$A$7:A320) &amp; "'!C:C"), B320),
   0
)</f>
        <v>0</v>
      </c>
      <c r="D320" s="41" cm="1">
        <f t="array" aca="1" ref="D320" ca="1">IFERROR(
  COUNTIFS(
    INDIRECT("'" &amp; LOOKUP(2,1/($A$7:A320&lt;&gt;""),$A$7:A320) &amp; "'!C:C"), $B320,
    INDIRECT("'" &amp; LOOKUP(2,1/($A$7:A320&lt;&gt;""),$A$7:A320) &amp; "'!E:E"), "&gt;=" &amp; ($B$3-6),
    INDIRECT("'" &amp; LOOKUP(2,1/($A$7:A320&lt;&gt;""),$A$7:A320) &amp; "'!E:E"), "&lt;=" &amp; $B$3
  ),
0)</f>
        <v>0</v>
      </c>
    </row>
    <row r="321" spans="1:4" ht="50" customHeight="1" x14ac:dyDescent="0.2">
      <c r="A321" s="28"/>
      <c r="B321" s="33" t="s">
        <v>269</v>
      </c>
      <c r="C321" s="28">
        <f ca="1">IFERROR(
   COUNTIF(INDIRECT("'" &amp; LOOKUP("zzz",$A$7:A321) &amp; "'!C:C"), B321),
   0
)</f>
        <v>0</v>
      </c>
      <c r="D321" s="41" cm="1">
        <f t="array" aca="1" ref="D321" ca="1">IFERROR(
  COUNTIFS(
    INDIRECT("'" &amp; LOOKUP(2,1/($A$7:A321&lt;&gt;""),$A$7:A321) &amp; "'!C:C"), $B321,
    INDIRECT("'" &amp; LOOKUP(2,1/($A$7:A321&lt;&gt;""),$A$7:A321) &amp; "'!E:E"), "&gt;=" &amp; ($B$3-6),
    INDIRECT("'" &amp; LOOKUP(2,1/($A$7:A321&lt;&gt;""),$A$7:A321) &amp; "'!E:E"), "&lt;=" &amp; $B$3
  ),
0)</f>
        <v>0</v>
      </c>
    </row>
    <row r="322" spans="1:4" ht="50" customHeight="1" x14ac:dyDescent="0.2">
      <c r="A322" s="66"/>
      <c r="B322" s="67" t="s">
        <v>270</v>
      </c>
      <c r="C322" s="43">
        <f ca="1">IFERROR(
   COUNTIF(INDIRECT("'" &amp; LOOKUP("zzz",$A$7:A322) &amp; "'!C:C"), B322),
   0
)</f>
        <v>0</v>
      </c>
      <c r="D322" s="72" cm="1">
        <f t="array" aca="1" ref="D322" ca="1">IFERROR(
  COUNTIFS(
    INDIRECT("'" &amp; LOOKUP(2,1/($A$7:A322&lt;&gt;""),$A$7:A322) &amp; "'!C:C"), $B322,
    INDIRECT("'" &amp; LOOKUP(2,1/($A$7:A322&lt;&gt;""),$A$7:A322) &amp; "'!E:E"), "&gt;=" &amp; ($B$3-6),
    INDIRECT("'" &amp; LOOKUP(2,1/($A$7:A322&lt;&gt;""),$A$7:A322) &amp; "'!E:E"), "&lt;=" &amp; $B$3
  ),
0)</f>
        <v>0</v>
      </c>
    </row>
    <row r="323" spans="1:4" ht="50" customHeight="1" x14ac:dyDescent="0.2">
      <c r="A323" s="62" t="s">
        <v>279</v>
      </c>
      <c r="B323" s="63" t="s">
        <v>273</v>
      </c>
      <c r="C323" s="64">
        <f ca="1">IFERROR(
   COUNTIF(INDIRECT("'" &amp; LOOKUP("zzz",$A$7:A323) &amp; "'!C:C"), B323),
   0
)</f>
        <v>0</v>
      </c>
      <c r="D323" s="71" cm="1">
        <f t="array" aca="1" ref="D323" ca="1">IFERROR(
  COUNTIFS(
    INDIRECT("'" &amp; LOOKUP(2,1/($A$7:A323&lt;&gt;""),$A$7:A323) &amp; "'!C:C"), $B323,
    INDIRECT("'" &amp; LOOKUP(2,1/($A$7:A323&lt;&gt;""),$A$7:A323) &amp; "'!E:E"), "&gt;=" &amp; ($B$3-6),
    INDIRECT("'" &amp; LOOKUP(2,1/($A$7:A323&lt;&gt;""),$A$7:A323) &amp; "'!E:E"), "&lt;=" &amp; $B$3
  ),
0)</f>
        <v>0</v>
      </c>
    </row>
    <row r="324" spans="1:4" ht="50" customHeight="1" x14ac:dyDescent="0.2">
      <c r="A324" s="39"/>
      <c r="B324" s="35" t="s">
        <v>275</v>
      </c>
      <c r="C324" s="28">
        <f ca="1">IFERROR(
   COUNTIF(INDIRECT("'" &amp; LOOKUP("zzz",$A$7:A324) &amp; "'!C:C"), B324),
   0
)</f>
        <v>0</v>
      </c>
      <c r="D324" s="41" cm="1">
        <f t="array" aca="1" ref="D324" ca="1">IFERROR(
  COUNTIFS(
    INDIRECT("'" &amp; LOOKUP(2,1/($A$7:A324&lt;&gt;""),$A$7:A324) &amp; "'!C:C"), $B324,
    INDIRECT("'" &amp; LOOKUP(2,1/($A$7:A324&lt;&gt;""),$A$7:A324) &amp; "'!E:E"), "&gt;=" &amp; ($B$3-6),
    INDIRECT("'" &amp; LOOKUP(2,1/($A$7:A324&lt;&gt;""),$A$7:A324) &amp; "'!E:E"), "&lt;=" &amp; $B$3
  ),
0)</f>
        <v>0</v>
      </c>
    </row>
    <row r="325" spans="1:4" ht="50" customHeight="1" x14ac:dyDescent="0.2">
      <c r="A325" s="28"/>
      <c r="B325" s="33" t="s">
        <v>282</v>
      </c>
      <c r="C325" s="28">
        <f ca="1">IFERROR(
   COUNTIF(INDIRECT("'" &amp; LOOKUP("zzz",$A$7:A325) &amp; "'!C:C"), B325),
   0
)</f>
        <v>0</v>
      </c>
      <c r="D325" s="41" cm="1">
        <f t="array" aca="1" ref="D325" ca="1">IFERROR(
  COUNTIFS(
    INDIRECT("'" &amp; LOOKUP(2,1/($A$7:A325&lt;&gt;""),$A$7:A325) &amp; "'!C:C"), $B325,
    INDIRECT("'" &amp; LOOKUP(2,1/($A$7:A325&lt;&gt;""),$A$7:A325) &amp; "'!E:E"), "&gt;=" &amp; ($B$3-6),
    INDIRECT("'" &amp; LOOKUP(2,1/($A$7:A325&lt;&gt;""),$A$7:A325) &amp; "'!E:E"), "&lt;=" &amp; $B$3
  ),
0)</f>
        <v>0</v>
      </c>
    </row>
    <row r="326" spans="1:4" ht="50" customHeight="1" x14ac:dyDescent="0.2">
      <c r="A326" s="39"/>
      <c r="B326" s="35" t="s">
        <v>274</v>
      </c>
      <c r="C326" s="28">
        <f ca="1">IFERROR(
   COUNTIF(INDIRECT("'" &amp; LOOKUP("zzz",$A$7:A326) &amp; "'!C:C"), B326),
   0
)</f>
        <v>0</v>
      </c>
      <c r="D326" s="41" cm="1">
        <f t="array" aca="1" ref="D326" ca="1">IFERROR(
  COUNTIFS(
    INDIRECT("'" &amp; LOOKUP(2,1/($A$7:A326&lt;&gt;""),$A$7:A326) &amp; "'!C:C"), $B326,
    INDIRECT("'" &amp; LOOKUP(2,1/($A$7:A326&lt;&gt;""),$A$7:A326) &amp; "'!E:E"), "&gt;=" &amp; ($B$3-6),
    INDIRECT("'" &amp; LOOKUP(2,1/($A$7:A326&lt;&gt;""),$A$7:A326) &amp; "'!E:E"), "&lt;=" &amp; $B$3
  ),
0)</f>
        <v>0</v>
      </c>
    </row>
    <row r="327" spans="1:4" ht="50" customHeight="1" x14ac:dyDescent="0.2">
      <c r="A327" s="28"/>
      <c r="B327" s="33" t="s">
        <v>281</v>
      </c>
      <c r="C327" s="28">
        <f ca="1">IFERROR(
   COUNTIF(INDIRECT("'" &amp; LOOKUP("zzz",$A$7:A327) &amp; "'!C:C"), B327),
   0
)</f>
        <v>0</v>
      </c>
      <c r="D327" s="72" cm="1">
        <f t="array" aca="1" ref="D327" ca="1">IFERROR(
  COUNTIFS(
    INDIRECT("'" &amp; LOOKUP(2,1/($A$7:A327&lt;&gt;""),$A$7:A327) &amp; "'!C:C"), $B327,
    INDIRECT("'" &amp; LOOKUP(2,1/($A$7:A327&lt;&gt;""),$A$7:A327) &amp; "'!E:E"), "&gt;=" &amp; ($B$3-6),
    INDIRECT("'" &amp; LOOKUP(2,1/($A$7:A327&lt;&gt;""),$A$7:A327) &amp; "'!E:E"), "&lt;=" &amp; $B$3
  ),
0)</f>
        <v>0</v>
      </c>
    </row>
    <row r="328" spans="1:4" ht="50" customHeight="1" x14ac:dyDescent="0.2">
      <c r="A328" s="62" t="s">
        <v>280</v>
      </c>
      <c r="B328" s="63" t="s">
        <v>286</v>
      </c>
      <c r="C328" s="64">
        <f ca="1">IFERROR(
   COUNTIF(INDIRECT("'" &amp; LOOKUP("zzz",$A$7:A328) &amp; "'!C:C"), B328),
   0
)</f>
        <v>0</v>
      </c>
      <c r="D328" s="71" cm="1">
        <f t="array" aca="1" ref="D328" ca="1">IFERROR(
  COUNTIFS(
    INDIRECT("'" &amp; LOOKUP(2,1/($A$7:A328&lt;&gt;""),$A$7:A328) &amp; "'!C:C"), $B328,
    INDIRECT("'" &amp; LOOKUP(2,1/($A$7:A328&lt;&gt;""),$A$7:A328) &amp; "'!E:E"), "&gt;=" &amp; ($B$3-6),
    INDIRECT("'" &amp; LOOKUP(2,1/($A$7:A328&lt;&gt;""),$A$7:A328) &amp; "'!E:E"), "&lt;=" &amp; $B$3
  ),
0)</f>
        <v>0</v>
      </c>
    </row>
    <row r="329" spans="1:4" ht="50" customHeight="1" x14ac:dyDescent="0.2">
      <c r="A329" s="39"/>
      <c r="B329" s="35" t="s">
        <v>285</v>
      </c>
      <c r="C329" s="28">
        <f ca="1">IFERROR(
   COUNTIF(INDIRECT("'" &amp; LOOKUP("zzz",$A$7:A329) &amp; "'!C:C"), B329),
   0
)</f>
        <v>0</v>
      </c>
      <c r="D329" s="41" cm="1">
        <f t="array" aca="1" ref="D329" ca="1">IFERROR(
  COUNTIFS(
    INDIRECT("'" &amp; LOOKUP(2,1/($A$7:A329&lt;&gt;""),$A$7:A329) &amp; "'!C:C"), $B329,
    INDIRECT("'" &amp; LOOKUP(2,1/($A$7:A329&lt;&gt;""),$A$7:A329) &amp; "'!E:E"), "&gt;=" &amp; ($B$3-6),
    INDIRECT("'" &amp; LOOKUP(2,1/($A$7:A329&lt;&gt;""),$A$7:A329) &amp; "'!E:E"), "&lt;=" &amp; $B$3
  ),
0)</f>
        <v>0</v>
      </c>
    </row>
    <row r="330" spans="1:4" ht="50" customHeight="1" x14ac:dyDescent="0.2">
      <c r="A330" s="28"/>
      <c r="B330" s="33" t="s">
        <v>276</v>
      </c>
      <c r="C330" s="28">
        <f ca="1">IFERROR(
   COUNTIF(INDIRECT("'" &amp; LOOKUP("zzz",$A$7:A330) &amp; "'!C:C"), B330),
   0
)</f>
        <v>0</v>
      </c>
      <c r="D330" s="41" cm="1">
        <f t="array" aca="1" ref="D330" ca="1">IFERROR(
  COUNTIFS(
    INDIRECT("'" &amp; LOOKUP(2,1/($A$7:A330&lt;&gt;""),$A$7:A330) &amp; "'!C:C"), $B330,
    INDIRECT("'" &amp; LOOKUP(2,1/($A$7:A330&lt;&gt;""),$A$7:A330) &amp; "'!E:E"), "&gt;=" &amp; ($B$3-6),
    INDIRECT("'" &amp; LOOKUP(2,1/($A$7:A330&lt;&gt;""),$A$7:A330) &amp; "'!E:E"), "&lt;=" &amp; $B$3
  ),
0)</f>
        <v>0</v>
      </c>
    </row>
    <row r="331" spans="1:4" ht="50" customHeight="1" x14ac:dyDescent="0.2">
      <c r="A331" s="39"/>
      <c r="B331" s="35" t="s">
        <v>277</v>
      </c>
      <c r="C331" s="28">
        <f ca="1">IFERROR(
   COUNTIF(INDIRECT("'" &amp; LOOKUP("zzz",$A$7:A331) &amp; "'!C:C"), B331),
   0
)</f>
        <v>0</v>
      </c>
      <c r="D331" s="41" cm="1">
        <f t="array" aca="1" ref="D331" ca="1">IFERROR(
  COUNTIFS(
    INDIRECT("'" &amp; LOOKUP(2,1/($A$7:A331&lt;&gt;""),$A$7:A331) &amp; "'!C:C"), $B331,
    INDIRECT("'" &amp; LOOKUP(2,1/($A$7:A331&lt;&gt;""),$A$7:A331) &amp; "'!E:E"), "&gt;=" &amp; ($B$3-6),
    INDIRECT("'" &amp; LOOKUP(2,1/($A$7:A331&lt;&gt;""),$A$7:A331) &amp; "'!E:E"), "&lt;=" &amp; $B$3
  ),
0)</f>
        <v>0</v>
      </c>
    </row>
    <row r="332" spans="1:4" ht="50" customHeight="1" x14ac:dyDescent="0.2">
      <c r="A332" s="28"/>
      <c r="B332" s="33" t="s">
        <v>284</v>
      </c>
      <c r="C332" s="28">
        <f ca="1">IFERROR(
   COUNTIF(INDIRECT("'" &amp; LOOKUP("zzz",$A$7:A332) &amp; "'!C:C"), B332),
   0
)</f>
        <v>0</v>
      </c>
      <c r="D332" s="41" cm="1">
        <f t="array" aca="1" ref="D332" ca="1">IFERROR(
  COUNTIFS(
    INDIRECT("'" &amp; LOOKUP(2,1/($A$7:A332&lt;&gt;""),$A$7:A332) &amp; "'!C:C"), $B332,
    INDIRECT("'" &amp; LOOKUP(2,1/($A$7:A332&lt;&gt;""),$A$7:A332) &amp; "'!E:E"), "&gt;=" &amp; ($B$3-6),
    INDIRECT("'" &amp; LOOKUP(2,1/($A$7:A332&lt;&gt;""),$A$7:A332) &amp; "'!E:E"), "&lt;=" &amp; $B$3
  ),
0)</f>
        <v>0</v>
      </c>
    </row>
    <row r="333" spans="1:4" ht="50" customHeight="1" x14ac:dyDescent="0.2">
      <c r="A333" s="39"/>
      <c r="B333" s="35" t="s">
        <v>278</v>
      </c>
      <c r="C333" s="28">
        <f ca="1">IFERROR(
   COUNTIF(INDIRECT("'" &amp; LOOKUP("zzz",$A$7:A333) &amp; "'!C:C"), B333),
   0
)</f>
        <v>0</v>
      </c>
      <c r="D333" s="41" cm="1">
        <f t="array" aca="1" ref="D333" ca="1">IFERROR(
  COUNTIFS(
    INDIRECT("'" &amp; LOOKUP(2,1/($A$7:A333&lt;&gt;""),$A$7:A333) &amp; "'!C:C"), $B333,
    INDIRECT("'" &amp; LOOKUP(2,1/($A$7:A333&lt;&gt;""),$A$7:A333) &amp; "'!E:E"), "&gt;=" &amp; ($B$3-6),
    INDIRECT("'" &amp; LOOKUP(2,1/($A$7:A333&lt;&gt;""),$A$7:A333) &amp; "'!E:E"), "&lt;=" &amp; $B$3
  ),
0)</f>
        <v>0</v>
      </c>
    </row>
    <row r="334" spans="1:4" ht="50" customHeight="1" x14ac:dyDescent="0.2">
      <c r="A334" s="28"/>
      <c r="B334" s="33" t="s">
        <v>283</v>
      </c>
      <c r="C334" s="28">
        <f ca="1">IFERROR(
   COUNTIF(INDIRECT("'" &amp; LOOKUP("zzz",$A$7:A334) &amp; "'!C:C"), B334),
   0
)</f>
        <v>0</v>
      </c>
      <c r="D334" s="41" cm="1">
        <f t="array" aca="1" ref="D334" ca="1">IFERROR(
  COUNTIFS(
    INDIRECT("'" &amp; LOOKUP(2,1/($A$7:A334&lt;&gt;""),$A$7:A334) &amp; "'!C:C"), $B334,
    INDIRECT("'" &amp; LOOKUP(2,1/($A$7:A334&lt;&gt;""),$A$7:A334) &amp; "'!E:E"), "&gt;=" &amp; ($B$3-6),
    INDIRECT("'" &amp; LOOKUP(2,1/($A$7:A334&lt;&gt;""),$A$7:A334) &amp; "'!E:E"), "&lt;=" &amp; $B$3
  ),
0)</f>
        <v>0</v>
      </c>
    </row>
    <row r="335" spans="1:4" ht="50" customHeight="1" x14ac:dyDescent="0.2">
      <c r="A335" s="62" t="s">
        <v>338</v>
      </c>
      <c r="B335" s="63" t="s">
        <v>340</v>
      </c>
      <c r="C335" s="64">
        <f ca="1">IFERROR(
   COUNTIF(INDIRECT("'" &amp; LOOKUP("zzz",$A$7:A335) &amp; "'!C:C"), B335),
   0
)</f>
        <v>0</v>
      </c>
      <c r="D335" s="71" cm="1">
        <f t="array" aca="1" ref="D335" ca="1">IFERROR(
  COUNTIFS(
    INDIRECT("'" &amp; LOOKUP(2,1/($A$7:A335&lt;&gt;""),$A$7:A335) &amp; "'!C:C"), $B335,
    INDIRECT("'" &amp; LOOKUP(2,1/($A$7:A335&lt;&gt;""),$A$7:A335) &amp; "'!E:E"), "&gt;=" &amp; ($B$3-6),
    INDIRECT("'" &amp; LOOKUP(2,1/($A$7:A335&lt;&gt;""),$A$7:A335) &amp; "'!E:E"), "&lt;=" &amp; $B$3
  ),
0)</f>
        <v>0</v>
      </c>
    </row>
    <row r="336" spans="1:4" ht="50" customHeight="1" x14ac:dyDescent="0.2">
      <c r="A336" s="39"/>
      <c r="B336" s="35" t="s">
        <v>341</v>
      </c>
      <c r="C336" s="28">
        <f ca="1">IFERROR(
   COUNTIF(INDIRECT("'" &amp; LOOKUP("zzz",$A$7:A336) &amp; "'!C:C"), B336),
   0
)</f>
        <v>0</v>
      </c>
      <c r="D336" s="41" cm="1">
        <f t="array" aca="1" ref="D336" ca="1">IFERROR(
  COUNTIFS(
    INDIRECT("'" &amp; LOOKUP(2,1/($A$7:A336&lt;&gt;""),$A$7:A336) &amp; "'!C:C"), $B336,
    INDIRECT("'" &amp; LOOKUP(2,1/($A$7:A336&lt;&gt;""),$A$7:A336) &amp; "'!E:E"), "&gt;=" &amp; ($B$3-6),
    INDIRECT("'" &amp; LOOKUP(2,1/($A$7:A336&lt;&gt;""),$A$7:A336) &amp; "'!E:E"), "&lt;=" &amp; $B$3
  ),
0)</f>
        <v>0</v>
      </c>
    </row>
    <row r="337" spans="1:4" ht="50" customHeight="1" x14ac:dyDescent="0.2">
      <c r="A337" s="28"/>
      <c r="B337" s="33" t="s">
        <v>342</v>
      </c>
      <c r="C337" s="28">
        <f ca="1">IFERROR(
   COUNTIF(INDIRECT("'" &amp; LOOKUP("zzz",$A$7:A337) &amp; "'!C:C"), B337),
   0
)</f>
        <v>0</v>
      </c>
      <c r="D337" s="41" cm="1">
        <f t="array" aca="1" ref="D337" ca="1">IFERROR(
  COUNTIFS(
    INDIRECT("'" &amp; LOOKUP(2,1/($A$7:A337&lt;&gt;""),$A$7:A337) &amp; "'!C:C"), $B337,
    INDIRECT("'" &amp; LOOKUP(2,1/($A$7:A337&lt;&gt;""),$A$7:A337) &amp; "'!E:E"), "&gt;=" &amp; ($B$3-6),
    INDIRECT("'" &amp; LOOKUP(2,1/($A$7:A337&lt;&gt;""),$A$7:A337) &amp; "'!E:E"), "&lt;=" &amp; $B$3
  ),
0)</f>
        <v>0</v>
      </c>
    </row>
    <row r="338" spans="1:4" ht="50" customHeight="1" x14ac:dyDescent="0.2">
      <c r="A338" s="39"/>
      <c r="B338" s="35" t="s">
        <v>339</v>
      </c>
      <c r="C338" s="28">
        <f ca="1">IFERROR(
   COUNTIF(INDIRECT("'" &amp; LOOKUP("zzz",$A$7:A338) &amp; "'!C:C"), B338),
   0
)</f>
        <v>0</v>
      </c>
      <c r="D338" s="41" cm="1">
        <f t="array" aca="1" ref="D338" ca="1">IFERROR(
  COUNTIFS(
    INDIRECT("'" &amp; LOOKUP(2,1/($A$7:A338&lt;&gt;""),$A$7:A338) &amp; "'!C:C"), $B338,
    INDIRECT("'" &amp; LOOKUP(2,1/($A$7:A338&lt;&gt;""),$A$7:A338) &amp; "'!E:E"), "&gt;=" &amp; ($B$3-6),
    INDIRECT("'" &amp; LOOKUP(2,1/($A$7:A338&lt;&gt;""),$A$7:A338) &amp; "'!E:E"), "&lt;=" &amp; $B$3
  ),
0)</f>
        <v>0</v>
      </c>
    </row>
    <row r="339" spans="1:4" ht="50" customHeight="1" x14ac:dyDescent="0.2">
      <c r="A339" s="28"/>
      <c r="B339" s="33" t="s">
        <v>343</v>
      </c>
      <c r="C339" s="28">
        <f ca="1">IFERROR(
   COUNTIF(INDIRECT("'" &amp; LOOKUP("zzz",$A$7:A339) &amp; "'!C:C"), B339),
   0
)</f>
        <v>0</v>
      </c>
      <c r="D339" s="41" cm="1">
        <f t="array" aca="1" ref="D339" ca="1">IFERROR(
  COUNTIFS(
    INDIRECT("'" &amp; LOOKUP(2,1/($A$7:A339&lt;&gt;""),$A$7:A339) &amp; "'!C:C"), $B339,
    INDIRECT("'" &amp; LOOKUP(2,1/($A$7:A339&lt;&gt;""),$A$7:A339) &amp; "'!E:E"), "&gt;=" &amp; ($B$3-6),
    INDIRECT("'" &amp; LOOKUP(2,1/($A$7:A339&lt;&gt;""),$A$7:A339) &amp; "'!E:E"), "&lt;=" &amp; $B$3
  ),
0)</f>
        <v>0</v>
      </c>
    </row>
    <row r="340" spans="1:4" ht="50" customHeight="1" x14ac:dyDescent="0.2">
      <c r="A340" s="39"/>
      <c r="B340" s="35" t="s">
        <v>344</v>
      </c>
      <c r="C340" s="28">
        <f ca="1">IFERROR(
   COUNTIF(INDIRECT("'" &amp; LOOKUP("zzz",$A$7:A340) &amp; "'!C:C"), B340),
   0
)</f>
        <v>0</v>
      </c>
      <c r="D340" s="41" cm="1">
        <f t="array" aca="1" ref="D340" ca="1">IFERROR(
  COUNTIFS(
    INDIRECT("'" &amp; LOOKUP(2,1/($A$7:A340&lt;&gt;""),$A$7:A340) &amp; "'!C:C"), $B340,
    INDIRECT("'" &amp; LOOKUP(2,1/($A$7:A340&lt;&gt;""),$A$7:A340) &amp; "'!E:E"), "&gt;=" &amp; ($B$3-6),
    INDIRECT("'" &amp; LOOKUP(2,1/($A$7:A340&lt;&gt;""),$A$7:A340) &amp; "'!E:E"), "&lt;=" &amp; $B$3
  ),
0)</f>
        <v>0</v>
      </c>
    </row>
  </sheetData>
  <pageMargins left="0.25" right="0.25" top="0.5" bottom="0.5" header="0.3" footer="0.3"/>
  <pageSetup paperSize="9" scale="10" orientation="portrait" r:id="rId1"/>
  <headerFooter>
    <oddHeader>&amp;L&amp;G</oddHeader>
  </headerFooter>
  <rowBreaks count="2" manualBreakCount="2">
    <brk id="20" max="3" man="1"/>
    <brk id="147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1" customWidth="1"/>
    <col min="5" max="5" width="83.5" style="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</row>
    <row r="2" spans="1:17" ht="129" customHeight="1" x14ac:dyDescent="0.2">
      <c r="A2" s="1"/>
      <c r="C2" s="2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COUNTA(E7:E13489)</f>
        <v>0</v>
      </c>
    </row>
    <row r="4" spans="1:17" ht="47.5" customHeight="1" x14ac:dyDescent="0.2">
      <c r="A4" s="1"/>
      <c r="C4" s="2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34" orientation="landscape" r:id="rId1"/>
  <headerFooter>
    <oddHeader>&amp;L&amp;G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1" customWidth="1"/>
    <col min="5" max="5" width="83.5" style="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</row>
    <row r="2" spans="1:17" ht="129" customHeight="1" x14ac:dyDescent="0.2">
      <c r="A2" s="1"/>
      <c r="C2" s="2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COUNTA(E7:E13502)</f>
        <v>0</v>
      </c>
    </row>
    <row r="4" spans="1:17" ht="47.5" customHeight="1" x14ac:dyDescent="0.2">
      <c r="A4" s="1"/>
      <c r="C4" s="2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1" orientation="landscape" r:id="rId1"/>
  <headerFooter>
    <oddHeader>&amp;L&amp;G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1" customWidth="1"/>
    <col min="5" max="5" width="86.1640625" style="1" bestFit="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</row>
    <row r="2" spans="1:17" ht="129" customHeight="1" x14ac:dyDescent="0.2">
      <c r="A2" s="1"/>
      <c r="C2" s="2"/>
    </row>
    <row r="3" spans="1:17" ht="45" customHeight="1" x14ac:dyDescent="0.2">
      <c r="A3" s="31" t="s">
        <v>0</v>
      </c>
      <c r="B3" s="4">
        <v>46113</v>
      </c>
      <c r="C3" s="5" t="s">
        <v>1</v>
      </c>
      <c r="D3" s="6">
        <f>COUNTA(E7:E13498)</f>
        <v>0</v>
      </c>
    </row>
    <row r="4" spans="1:17" ht="47.5" customHeight="1" x14ac:dyDescent="0.2">
      <c r="A4" s="1"/>
      <c r="C4" s="2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25" orientation="portrait" r:id="rId1"/>
  <headerFooter>
    <oddHeader>&amp;L&amp;G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1" customWidth="1"/>
    <col min="5" max="5" width="83.5" style="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</row>
    <row r="2" spans="1:17" ht="129" customHeight="1" x14ac:dyDescent="0.2">
      <c r="A2" s="1"/>
      <c r="C2" s="2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34" orientation="landscape" r:id="rId1"/>
  <headerFooter>
    <oddHeader>&amp;L&amp;G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COUNTA(D7:D13507)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40CA-84F9-1643-A975-ADB9778305FC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9529-03A7-FB43-BCDB-F08495253B2A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81AE-F4D4-D84D-9701-599B461DEE65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C410-1C52-2D4A-908B-C6EDA4F11511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492-B6EF-8E4F-94B6-721292CFE969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COUNTA(E7:E13500)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COUNTA(E7:E13500)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BE2B-69F6-5549-973A-09C96C714CD4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7648-4854-A14C-B02E-F5DEEAB7C846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D7C4-7333-874F-B928-459F4625E3FE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8DC0-022A-234A-8B32-54E5C42324CF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8" sqref="A8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C84C-C8F2-0A42-97D0-B87B5155505D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3C0D-0A46-5346-8D51-87963C72FAC6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6640625" style="1" customWidth="1"/>
    <col min="4" max="4" width="66.1640625" style="21" customWidth="1"/>
    <col min="5" max="5" width="83.5" style="21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7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3" orientation="landscape" r:id="rId1"/>
  <headerFooter>
    <oddHeader>&amp;L&amp;G</oddHead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CEB0-9701-7241-8827-A59C4C81B7EA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3329-C030-2746-B995-87DE879EFAD4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ECE7-17E5-FF40-8C99-181FE2EF7528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1885-85E4-A24F-AC7E-8132E31D16E6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035B-3487-F14C-9941-2036C22B624C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910E-FCAD-1B4F-8948-26311E81E749}">
  <sheetPr>
    <pageSetUpPr fitToPage="1"/>
  </sheetPr>
  <dimension ref="A1:Q20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" style="74" customWidth="1"/>
    <col min="2" max="2" width="60" style="1" customWidth="1"/>
    <col min="3" max="3" width="64.83203125" style="1" customWidth="1"/>
    <col min="4" max="4" width="66.1640625" style="56" customWidth="1"/>
    <col min="5" max="5" width="83.5" style="56" customWidth="1"/>
    <col min="6" max="6" width="6.6640625" style="78" customWidth="1"/>
    <col min="7" max="7" width="5.5" customWidth="1"/>
    <col min="8" max="8" width="40.6640625" style="1" customWidth="1"/>
    <col min="9" max="12" width="5.5" style="1" customWidth="1"/>
    <col min="13" max="16384" width="8.6640625" style="1"/>
  </cols>
  <sheetData>
    <row r="1" spans="1:17" ht="68" customHeight="1" x14ac:dyDescent="0.2">
      <c r="A1" s="1"/>
      <c r="C1" s="2"/>
      <c r="D1" s="1"/>
      <c r="E1" s="1"/>
    </row>
    <row r="2" spans="1:17" ht="129" customHeight="1" x14ac:dyDescent="0.2">
      <c r="A2" s="1"/>
      <c r="C2" s="2"/>
      <c r="D2" s="1"/>
      <c r="E2" s="1"/>
    </row>
    <row r="3" spans="1:17" ht="45" customHeight="1" x14ac:dyDescent="0.2">
      <c r="A3" s="3" t="s">
        <v>0</v>
      </c>
      <c r="B3" s="4">
        <v>46113</v>
      </c>
      <c r="C3" s="5" t="s">
        <v>1</v>
      </c>
      <c r="D3" s="6">
        <f>COUNTA(E7:E13501)</f>
        <v>0</v>
      </c>
    </row>
    <row r="4" spans="1:17" ht="47.5" customHeight="1" x14ac:dyDescent="0.2">
      <c r="A4" s="1"/>
      <c r="C4" s="2"/>
      <c r="D4" s="1"/>
      <c r="E4" s="1"/>
    </row>
    <row r="5" spans="1:17" ht="49.25" customHeight="1" x14ac:dyDescent="0.2">
      <c r="A5" s="7" t="s">
        <v>346</v>
      </c>
      <c r="B5" s="7" t="s">
        <v>2</v>
      </c>
      <c r="C5" s="8" t="s">
        <v>3</v>
      </c>
      <c r="D5" s="8" t="s">
        <v>4</v>
      </c>
      <c r="E5" s="9" t="s">
        <v>5</v>
      </c>
      <c r="G5" s="10"/>
    </row>
    <row r="6" spans="1:17" ht="49.25" customHeight="1" x14ac:dyDescent="0.2">
      <c r="A6" s="11" t="s">
        <v>347</v>
      </c>
      <c r="B6" s="11" t="s">
        <v>6</v>
      </c>
      <c r="C6" s="12" t="s">
        <v>7</v>
      </c>
      <c r="D6" s="12" t="s">
        <v>8</v>
      </c>
      <c r="E6" s="12" t="s">
        <v>9</v>
      </c>
      <c r="G6" s="10"/>
    </row>
    <row r="7" spans="1:17" s="78" customFormat="1" ht="64.5" customHeight="1" x14ac:dyDescent="0.2">
      <c r="A7" s="75"/>
      <c r="B7" s="76"/>
      <c r="C7" s="13"/>
      <c r="D7" s="77"/>
      <c r="E7" s="77"/>
    </row>
    <row r="8" spans="1:17" s="78" customFormat="1" ht="64.5" customHeight="1" x14ac:dyDescent="0.2">
      <c r="A8" s="75"/>
      <c r="B8" s="76"/>
      <c r="C8" s="13"/>
      <c r="D8" s="77"/>
      <c r="E8" s="77"/>
    </row>
    <row r="9" spans="1:17" s="78" customFormat="1" ht="64.5" customHeight="1" x14ac:dyDescent="0.2">
      <c r="A9" s="75"/>
      <c r="B9" s="76"/>
      <c r="C9" s="13"/>
      <c r="D9" s="77"/>
      <c r="E9" s="77"/>
      <c r="F9" s="79"/>
      <c r="G9" s="79"/>
      <c r="H9" s="79"/>
      <c r="I9" s="79"/>
      <c r="J9" s="79"/>
      <c r="K9" s="79"/>
      <c r="M9" s="79"/>
      <c r="N9" s="79"/>
      <c r="O9" s="79"/>
      <c r="P9" s="79"/>
      <c r="Q9" s="79"/>
    </row>
    <row r="10" spans="1:17" s="79" customFormat="1" ht="64.5" customHeight="1" x14ac:dyDescent="0.2">
      <c r="A10" s="75"/>
      <c r="B10" s="76"/>
      <c r="C10" s="13"/>
      <c r="D10" s="77"/>
      <c r="E10" s="77"/>
      <c r="F10" s="78"/>
      <c r="G10" s="78"/>
      <c r="H10" s="78"/>
      <c r="I10" s="78"/>
      <c r="J10" s="78"/>
      <c r="K10" s="78"/>
      <c r="M10" s="78"/>
      <c r="N10" s="78"/>
      <c r="O10" s="78"/>
      <c r="P10" s="78"/>
      <c r="Q10" s="78"/>
    </row>
    <row r="11" spans="1:17" s="78" customFormat="1" ht="64.5" customHeight="1" x14ac:dyDescent="0.2">
      <c r="A11" s="75"/>
      <c r="B11" s="76"/>
      <c r="C11" s="13"/>
      <c r="D11" s="77"/>
      <c r="E11" s="77"/>
    </row>
    <row r="12" spans="1:17" s="78" customFormat="1" ht="64.5" customHeight="1" x14ac:dyDescent="0.2">
      <c r="A12" s="75"/>
      <c r="B12" s="76"/>
      <c r="C12" s="13"/>
      <c r="D12" s="77"/>
      <c r="E12" s="77"/>
    </row>
    <row r="13" spans="1:17" s="78" customFormat="1" ht="64.5" customHeight="1" x14ac:dyDescent="0.2">
      <c r="A13" s="75"/>
      <c r="B13" s="76"/>
      <c r="C13" s="13"/>
      <c r="D13" s="77"/>
      <c r="E13" s="77"/>
    </row>
    <row r="14" spans="1:17" s="78" customFormat="1" ht="64.5" customHeight="1" x14ac:dyDescent="0.2">
      <c r="A14" s="75"/>
      <c r="B14" s="76"/>
      <c r="C14" s="13"/>
      <c r="D14" s="77"/>
      <c r="E14" s="77"/>
    </row>
    <row r="15" spans="1:17" s="78" customFormat="1" ht="64.5" customHeight="1" x14ac:dyDescent="0.2">
      <c r="A15" s="75"/>
      <c r="B15" s="76"/>
      <c r="C15" s="13"/>
      <c r="D15" s="77"/>
      <c r="E15" s="77"/>
    </row>
    <row r="16" spans="1:17" s="78" customFormat="1" ht="64.5" customHeight="1" x14ac:dyDescent="0.2">
      <c r="A16" s="75"/>
      <c r="B16" s="76"/>
      <c r="C16" s="13"/>
      <c r="D16" s="77"/>
      <c r="E16" s="77"/>
    </row>
    <row r="17" spans="1:6" s="78" customFormat="1" ht="64.5" customHeight="1" x14ac:dyDescent="0.2">
      <c r="A17" s="75"/>
      <c r="B17" s="76"/>
      <c r="C17" s="13"/>
      <c r="D17" s="77"/>
      <c r="E17" s="77"/>
    </row>
    <row r="18" spans="1:6" s="78" customFormat="1" ht="64.5" customHeight="1" x14ac:dyDescent="0.2">
      <c r="A18" s="75"/>
      <c r="B18" s="76"/>
      <c r="C18" s="13"/>
      <c r="D18" s="77"/>
      <c r="E18" s="77"/>
    </row>
    <row r="19" spans="1:6" s="78" customFormat="1" ht="64.5" customHeight="1" x14ac:dyDescent="0.2">
      <c r="A19" s="75"/>
      <c r="B19" s="76"/>
      <c r="C19" s="13"/>
      <c r="D19" s="77"/>
      <c r="E19" s="77"/>
    </row>
    <row r="20" spans="1:6" s="78" customFormat="1" ht="64.5" customHeight="1" x14ac:dyDescent="0.2">
      <c r="A20" s="75"/>
      <c r="B20" s="76"/>
      <c r="C20" s="13"/>
      <c r="D20" s="77"/>
      <c r="E20" s="77"/>
    </row>
    <row r="21" spans="1:6" s="78" customFormat="1" ht="64.5" customHeight="1" x14ac:dyDescent="0.2">
      <c r="A21" s="75"/>
      <c r="B21" s="76"/>
      <c r="C21" s="13"/>
      <c r="D21" s="77"/>
      <c r="E21" s="77"/>
    </row>
    <row r="22" spans="1:6" s="80" customFormat="1" ht="64.5" customHeight="1" x14ac:dyDescent="0.15">
      <c r="A22" s="75"/>
      <c r="B22" s="76"/>
      <c r="C22" s="13"/>
      <c r="D22" s="77"/>
      <c r="E22" s="77"/>
      <c r="F22" s="78"/>
    </row>
    <row r="23" spans="1:6" s="81" customFormat="1" ht="64.5" customHeight="1" x14ac:dyDescent="0.15">
      <c r="A23" s="75"/>
      <c r="B23" s="76"/>
      <c r="C23" s="13"/>
      <c r="D23" s="77"/>
      <c r="E23" s="77"/>
      <c r="F23" s="78"/>
    </row>
    <row r="24" spans="1:6" s="81" customFormat="1" ht="64.5" customHeight="1" x14ac:dyDescent="0.15">
      <c r="A24" s="75"/>
      <c r="B24" s="76"/>
      <c r="C24" s="13"/>
      <c r="D24" s="77"/>
      <c r="E24" s="77"/>
      <c r="F24" s="78"/>
    </row>
    <row r="25" spans="1:6" s="81" customFormat="1" ht="64.5" customHeight="1" x14ac:dyDescent="0.15">
      <c r="A25" s="75"/>
      <c r="B25" s="76"/>
      <c r="C25" s="13"/>
      <c r="D25" s="77"/>
      <c r="E25" s="77"/>
      <c r="F25" s="78"/>
    </row>
    <row r="26" spans="1:6" s="81" customFormat="1" ht="64.5" customHeight="1" x14ac:dyDescent="0.15">
      <c r="A26" s="75"/>
      <c r="B26" s="76"/>
      <c r="C26" s="13"/>
      <c r="D26" s="77"/>
      <c r="E26" s="77"/>
      <c r="F26" s="78"/>
    </row>
    <row r="27" spans="1:6" s="81" customFormat="1" ht="64.5" customHeight="1" x14ac:dyDescent="0.15">
      <c r="A27" s="75"/>
      <c r="B27" s="76"/>
      <c r="C27" s="13"/>
      <c r="D27" s="77"/>
      <c r="E27" s="77"/>
      <c r="F27" s="78"/>
    </row>
    <row r="28" spans="1:6" s="81" customFormat="1" ht="64.5" customHeight="1" x14ac:dyDescent="0.15">
      <c r="A28" s="75"/>
      <c r="B28" s="76"/>
      <c r="C28" s="13"/>
      <c r="D28" s="77"/>
      <c r="E28" s="77"/>
      <c r="F28" s="78"/>
    </row>
    <row r="29" spans="1:6" s="81" customFormat="1" ht="64.5" customHeight="1" x14ac:dyDescent="0.15">
      <c r="A29" s="75"/>
      <c r="B29" s="76"/>
      <c r="C29" s="13"/>
      <c r="D29" s="77"/>
      <c r="E29" s="77"/>
      <c r="F29" s="78"/>
    </row>
    <row r="30" spans="1:6" s="81" customFormat="1" ht="64" customHeight="1" x14ac:dyDescent="0.25">
      <c r="A30" s="75"/>
      <c r="B30" s="76"/>
      <c r="C30" s="13"/>
      <c r="D30" s="82"/>
      <c r="E30" s="82"/>
      <c r="F30" s="78"/>
    </row>
    <row r="31" spans="1:6" s="81" customFormat="1" ht="64" customHeight="1" x14ac:dyDescent="0.15">
      <c r="A31" s="75"/>
      <c r="B31" s="76"/>
      <c r="C31" s="13"/>
      <c r="D31" s="77"/>
      <c r="E31" s="77"/>
      <c r="F31" s="78"/>
    </row>
    <row r="32" spans="1:6" s="81" customFormat="1" ht="64" customHeight="1" x14ac:dyDescent="0.15">
      <c r="A32" s="75"/>
      <c r="B32" s="76"/>
      <c r="C32" s="13"/>
      <c r="D32" s="77"/>
      <c r="E32" s="77"/>
      <c r="F32" s="78"/>
    </row>
    <row r="33" spans="1:6" s="81" customFormat="1" ht="64" customHeight="1" x14ac:dyDescent="0.15">
      <c r="A33" s="75"/>
      <c r="B33" s="76"/>
      <c r="C33" s="13"/>
      <c r="D33" s="77"/>
      <c r="E33" s="77"/>
      <c r="F33" s="78"/>
    </row>
    <row r="34" spans="1:6" s="81" customFormat="1" ht="64" customHeight="1" x14ac:dyDescent="0.15">
      <c r="A34" s="75"/>
      <c r="B34" s="76"/>
      <c r="C34" s="13"/>
      <c r="D34" s="77"/>
      <c r="E34" s="77"/>
      <c r="F34" s="78"/>
    </row>
    <row r="35" spans="1:6" s="81" customFormat="1" ht="64" customHeight="1" x14ac:dyDescent="0.15">
      <c r="A35" s="75"/>
      <c r="B35" s="76"/>
      <c r="C35" s="13"/>
      <c r="D35" s="77"/>
      <c r="E35" s="77"/>
      <c r="F35" s="78"/>
    </row>
    <row r="36" spans="1:6" s="81" customFormat="1" ht="64" customHeight="1" x14ac:dyDescent="0.15">
      <c r="A36" s="75"/>
      <c r="B36" s="76"/>
      <c r="C36" s="13"/>
      <c r="D36" s="77"/>
      <c r="E36" s="77"/>
      <c r="F36" s="78"/>
    </row>
    <row r="37" spans="1:6" s="81" customFormat="1" ht="64" customHeight="1" x14ac:dyDescent="0.15">
      <c r="A37" s="75"/>
      <c r="B37" s="76"/>
      <c r="C37" s="13"/>
      <c r="D37" s="77"/>
      <c r="E37" s="77"/>
      <c r="F37" s="78"/>
    </row>
    <row r="38" spans="1:6" s="81" customFormat="1" ht="64" customHeight="1" x14ac:dyDescent="0.15">
      <c r="A38" s="75"/>
      <c r="B38" s="76"/>
      <c r="C38" s="13"/>
      <c r="D38" s="77"/>
      <c r="E38" s="77"/>
      <c r="F38" s="78"/>
    </row>
    <row r="39" spans="1:6" s="81" customFormat="1" ht="64" customHeight="1" x14ac:dyDescent="0.15">
      <c r="A39" s="75"/>
      <c r="B39" s="76"/>
      <c r="C39" s="13"/>
      <c r="D39" s="77"/>
      <c r="E39" s="77"/>
      <c r="F39" s="78"/>
    </row>
    <row r="40" spans="1:6" s="81" customFormat="1" ht="64" customHeight="1" x14ac:dyDescent="0.15">
      <c r="A40" s="75"/>
      <c r="B40" s="76"/>
      <c r="C40" s="13"/>
      <c r="D40" s="77"/>
      <c r="E40" s="77"/>
      <c r="F40" s="78"/>
    </row>
    <row r="41" spans="1:6" s="81" customFormat="1" ht="64" customHeight="1" x14ac:dyDescent="0.15">
      <c r="A41" s="75"/>
      <c r="B41" s="76"/>
      <c r="C41" s="13"/>
      <c r="D41" s="77"/>
      <c r="E41" s="77"/>
      <c r="F41" s="78"/>
    </row>
    <row r="42" spans="1:6" s="81" customFormat="1" ht="64" customHeight="1" x14ac:dyDescent="0.15">
      <c r="A42" s="75"/>
      <c r="B42" s="76"/>
      <c r="C42" s="13"/>
      <c r="D42" s="77"/>
      <c r="E42" s="77"/>
      <c r="F42" s="78"/>
    </row>
    <row r="43" spans="1:6" s="81" customFormat="1" ht="64" customHeight="1" x14ac:dyDescent="0.15">
      <c r="A43" s="75"/>
      <c r="B43" s="76"/>
      <c r="C43" s="13"/>
      <c r="D43" s="77"/>
      <c r="E43" s="77"/>
      <c r="F43" s="78"/>
    </row>
    <row r="44" spans="1:6" s="81" customFormat="1" ht="64" customHeight="1" x14ac:dyDescent="0.15">
      <c r="A44" s="75"/>
      <c r="B44" s="76"/>
      <c r="C44" s="13"/>
      <c r="D44" s="77"/>
      <c r="E44" s="77"/>
      <c r="F44" s="78"/>
    </row>
    <row r="45" spans="1:6" s="81" customFormat="1" ht="64" customHeight="1" x14ac:dyDescent="0.15">
      <c r="A45" s="75"/>
      <c r="B45" s="76"/>
      <c r="C45" s="13"/>
      <c r="D45" s="77"/>
      <c r="E45" s="77"/>
      <c r="F45" s="78"/>
    </row>
    <row r="46" spans="1:6" s="81" customFormat="1" ht="64" customHeight="1" x14ac:dyDescent="0.15">
      <c r="A46" s="75"/>
      <c r="B46" s="76"/>
      <c r="C46" s="13"/>
      <c r="D46" s="77"/>
      <c r="E46" s="77"/>
      <c r="F46" s="78"/>
    </row>
    <row r="47" spans="1:6" s="81" customFormat="1" ht="64" customHeight="1" x14ac:dyDescent="0.15">
      <c r="A47" s="75"/>
      <c r="B47" s="76"/>
      <c r="C47" s="13"/>
      <c r="D47" s="77"/>
      <c r="E47" s="77"/>
      <c r="F47" s="78"/>
    </row>
    <row r="48" spans="1:6" s="81" customFormat="1" ht="64" customHeight="1" x14ac:dyDescent="0.15">
      <c r="A48" s="75"/>
      <c r="B48" s="76"/>
      <c r="C48" s="13"/>
      <c r="D48" s="77"/>
      <c r="E48" s="77"/>
      <c r="F48" s="78"/>
    </row>
    <row r="49" spans="1:6" s="81" customFormat="1" ht="64" customHeight="1" x14ac:dyDescent="0.15">
      <c r="A49" s="75"/>
      <c r="B49" s="76"/>
      <c r="C49" s="13"/>
      <c r="D49" s="77"/>
      <c r="E49" s="77"/>
      <c r="F49" s="78"/>
    </row>
    <row r="50" spans="1:6" s="81" customFormat="1" ht="64" customHeight="1" x14ac:dyDescent="0.15">
      <c r="A50" s="75"/>
      <c r="B50" s="76"/>
      <c r="C50" s="13"/>
      <c r="D50" s="77"/>
      <c r="E50" s="77"/>
      <c r="F50" s="78"/>
    </row>
    <row r="51" spans="1:6" s="81" customFormat="1" ht="64" customHeight="1" x14ac:dyDescent="0.15">
      <c r="A51" s="75"/>
      <c r="B51" s="76"/>
      <c r="C51" s="13"/>
      <c r="D51" s="77"/>
      <c r="E51" s="77"/>
      <c r="F51" s="78"/>
    </row>
    <row r="52" spans="1:6" s="81" customFormat="1" ht="64" customHeight="1" x14ac:dyDescent="0.15">
      <c r="A52" s="75"/>
      <c r="B52" s="76"/>
      <c r="C52" s="13"/>
      <c r="D52" s="77"/>
      <c r="E52" s="77"/>
      <c r="F52" s="78"/>
    </row>
    <row r="53" spans="1:6" s="81" customFormat="1" ht="64" customHeight="1" x14ac:dyDescent="0.15">
      <c r="A53" s="75"/>
      <c r="B53" s="76"/>
      <c r="C53" s="13"/>
      <c r="D53" s="77"/>
      <c r="E53" s="77"/>
      <c r="F53" s="78"/>
    </row>
    <row r="54" spans="1:6" s="81" customFormat="1" ht="64" customHeight="1" x14ac:dyDescent="0.25">
      <c r="A54" s="75"/>
      <c r="B54" s="76"/>
      <c r="C54" s="13"/>
      <c r="D54" s="82"/>
      <c r="E54" s="82"/>
      <c r="F54" s="78"/>
    </row>
    <row r="55" spans="1:6" s="81" customFormat="1" ht="64" customHeight="1" x14ac:dyDescent="0.15">
      <c r="A55" s="75"/>
      <c r="B55" s="76"/>
      <c r="C55" s="13"/>
      <c r="D55" s="77"/>
      <c r="E55" s="77"/>
      <c r="F55" s="78"/>
    </row>
    <row r="56" spans="1:6" s="81" customFormat="1" ht="64" customHeight="1" x14ac:dyDescent="0.15">
      <c r="A56" s="75"/>
      <c r="B56" s="76"/>
      <c r="C56" s="13"/>
      <c r="D56" s="77"/>
      <c r="E56" s="77"/>
      <c r="F56" s="78"/>
    </row>
    <row r="57" spans="1:6" s="81" customFormat="1" ht="64" customHeight="1" x14ac:dyDescent="0.15">
      <c r="A57" s="75"/>
      <c r="B57" s="76"/>
      <c r="C57" s="13"/>
      <c r="D57" s="77"/>
      <c r="E57" s="77"/>
      <c r="F57" s="78"/>
    </row>
    <row r="58" spans="1:6" s="81" customFormat="1" ht="64" customHeight="1" x14ac:dyDescent="0.15">
      <c r="A58" s="75"/>
      <c r="B58" s="76"/>
      <c r="C58" s="13"/>
      <c r="D58" s="77"/>
      <c r="E58" s="77"/>
      <c r="F58" s="78"/>
    </row>
    <row r="59" spans="1:6" s="81" customFormat="1" ht="64" customHeight="1" x14ac:dyDescent="0.15">
      <c r="A59" s="75"/>
      <c r="B59" s="76"/>
      <c r="C59" s="13"/>
      <c r="D59" s="77"/>
      <c r="E59" s="77"/>
      <c r="F59" s="78"/>
    </row>
    <row r="60" spans="1:6" s="81" customFormat="1" ht="64" customHeight="1" x14ac:dyDescent="0.15">
      <c r="A60" s="75"/>
      <c r="B60" s="76"/>
      <c r="C60" s="13"/>
      <c r="D60" s="77"/>
      <c r="E60" s="77"/>
      <c r="F60" s="78"/>
    </row>
    <row r="61" spans="1:6" s="81" customFormat="1" ht="64" customHeight="1" x14ac:dyDescent="0.15">
      <c r="A61" s="75"/>
      <c r="B61" s="76"/>
      <c r="C61" s="13"/>
      <c r="D61" s="77"/>
      <c r="E61" s="77"/>
      <c r="F61" s="78"/>
    </row>
    <row r="62" spans="1:6" s="81" customFormat="1" ht="64" customHeight="1" x14ac:dyDescent="0.15">
      <c r="A62" s="75"/>
      <c r="B62" s="76"/>
      <c r="C62" s="13"/>
      <c r="D62" s="77"/>
      <c r="E62" s="77"/>
      <c r="F62" s="78"/>
    </row>
    <row r="63" spans="1:6" s="81" customFormat="1" ht="64" customHeight="1" x14ac:dyDescent="0.15">
      <c r="A63" s="75"/>
      <c r="B63" s="76"/>
      <c r="C63" s="13"/>
      <c r="D63" s="77"/>
      <c r="E63" s="77"/>
      <c r="F63" s="78"/>
    </row>
    <row r="64" spans="1:6" s="81" customFormat="1" ht="64" customHeight="1" x14ac:dyDescent="0.15">
      <c r="A64" s="75"/>
      <c r="B64" s="76"/>
      <c r="C64" s="13"/>
      <c r="D64" s="77"/>
      <c r="E64" s="77"/>
      <c r="F64" s="78"/>
    </row>
    <row r="65" spans="1:6" s="81" customFormat="1" ht="64" customHeight="1" x14ac:dyDescent="0.15">
      <c r="A65" s="75"/>
      <c r="B65" s="76"/>
      <c r="C65" s="13"/>
      <c r="D65" s="77"/>
      <c r="E65" s="77"/>
      <c r="F65" s="78"/>
    </row>
    <row r="66" spans="1:6" s="81" customFormat="1" ht="64" customHeight="1" x14ac:dyDescent="0.15">
      <c r="A66" s="75"/>
      <c r="B66" s="76"/>
      <c r="C66" s="13"/>
      <c r="D66" s="77"/>
      <c r="E66" s="77"/>
      <c r="F66" s="78"/>
    </row>
    <row r="67" spans="1:6" s="81" customFormat="1" ht="64" customHeight="1" x14ac:dyDescent="0.15">
      <c r="A67" s="75"/>
      <c r="B67" s="76"/>
      <c r="C67" s="13"/>
      <c r="D67" s="77"/>
      <c r="E67" s="77"/>
      <c r="F67" s="78"/>
    </row>
    <row r="68" spans="1:6" s="81" customFormat="1" ht="64" customHeight="1" x14ac:dyDescent="0.15">
      <c r="A68" s="75"/>
      <c r="B68" s="76"/>
      <c r="C68" s="13"/>
      <c r="D68" s="77"/>
      <c r="E68" s="77"/>
      <c r="F68" s="78"/>
    </row>
    <row r="69" spans="1:6" s="81" customFormat="1" ht="64" customHeight="1" x14ac:dyDescent="0.15">
      <c r="A69" s="75"/>
      <c r="B69" s="76"/>
      <c r="C69" s="13"/>
      <c r="D69" s="77"/>
      <c r="E69" s="77"/>
      <c r="F69" s="78"/>
    </row>
    <row r="70" spans="1:6" s="81" customFormat="1" ht="64" customHeight="1" x14ac:dyDescent="0.15">
      <c r="A70" s="75"/>
      <c r="B70" s="76"/>
      <c r="C70" s="13"/>
      <c r="D70" s="77"/>
      <c r="E70" s="77"/>
      <c r="F70" s="78"/>
    </row>
    <row r="71" spans="1:6" s="81" customFormat="1" ht="64" customHeight="1" x14ac:dyDescent="0.15">
      <c r="A71" s="75"/>
      <c r="B71" s="76"/>
      <c r="C71" s="13"/>
      <c r="D71" s="77"/>
      <c r="E71" s="77"/>
      <c r="F71" s="78"/>
    </row>
    <row r="72" spans="1:6" s="81" customFormat="1" ht="64" customHeight="1" x14ac:dyDescent="0.15">
      <c r="A72" s="75"/>
      <c r="B72" s="76"/>
      <c r="C72" s="13"/>
      <c r="D72" s="77"/>
      <c r="E72" s="77"/>
      <c r="F72" s="78"/>
    </row>
    <row r="73" spans="1:6" s="81" customFormat="1" ht="64" customHeight="1" x14ac:dyDescent="0.15">
      <c r="A73" s="75"/>
      <c r="B73" s="76"/>
      <c r="C73" s="13"/>
      <c r="D73" s="77"/>
      <c r="E73" s="77"/>
      <c r="F73" s="78"/>
    </row>
    <row r="74" spans="1:6" s="81" customFormat="1" ht="64" customHeight="1" x14ac:dyDescent="0.15">
      <c r="A74" s="75"/>
      <c r="B74" s="76"/>
      <c r="C74" s="13"/>
      <c r="D74" s="77"/>
      <c r="E74" s="77"/>
      <c r="F74" s="78"/>
    </row>
    <row r="75" spans="1:6" s="81" customFormat="1" ht="64" customHeight="1" x14ac:dyDescent="0.15">
      <c r="A75" s="75"/>
      <c r="B75" s="76"/>
      <c r="C75" s="13"/>
      <c r="D75" s="77"/>
      <c r="E75" s="77"/>
      <c r="F75" s="78"/>
    </row>
    <row r="76" spans="1:6" s="81" customFormat="1" ht="64" customHeight="1" x14ac:dyDescent="0.15">
      <c r="A76" s="75"/>
      <c r="B76" s="76"/>
      <c r="C76" s="13"/>
      <c r="D76" s="77"/>
      <c r="E76" s="77"/>
      <c r="F76" s="78"/>
    </row>
    <row r="77" spans="1:6" s="81" customFormat="1" ht="64" customHeight="1" x14ac:dyDescent="0.15">
      <c r="A77" s="75"/>
      <c r="B77" s="76"/>
      <c r="C77" s="13"/>
      <c r="D77" s="77"/>
      <c r="E77" s="77"/>
      <c r="F77" s="78"/>
    </row>
    <row r="78" spans="1:6" s="81" customFormat="1" ht="64" customHeight="1" x14ac:dyDescent="0.25">
      <c r="A78" s="75"/>
      <c r="B78" s="76"/>
      <c r="C78" s="13"/>
      <c r="D78" s="82"/>
      <c r="E78" s="82"/>
      <c r="F78" s="78"/>
    </row>
    <row r="79" spans="1:6" s="81" customFormat="1" ht="64" customHeight="1" x14ac:dyDescent="0.15">
      <c r="A79" s="75"/>
      <c r="B79" s="76"/>
      <c r="C79" s="13"/>
      <c r="D79" s="77"/>
      <c r="E79" s="77"/>
      <c r="F79" s="78"/>
    </row>
    <row r="80" spans="1:6" s="81" customFormat="1" ht="64" customHeight="1" x14ac:dyDescent="0.15">
      <c r="A80" s="75"/>
      <c r="B80" s="76"/>
      <c r="C80" s="13"/>
      <c r="D80" s="77"/>
      <c r="E80" s="77"/>
      <c r="F80" s="78"/>
    </row>
    <row r="81" spans="1:6" s="81" customFormat="1" ht="64" customHeight="1" x14ac:dyDescent="0.15">
      <c r="A81" s="75"/>
      <c r="B81" s="76"/>
      <c r="C81" s="13"/>
      <c r="D81" s="77"/>
      <c r="E81" s="77"/>
      <c r="F81" s="78"/>
    </row>
    <row r="82" spans="1:6" s="81" customFormat="1" ht="64" customHeight="1" x14ac:dyDescent="0.15">
      <c r="A82" s="75"/>
      <c r="B82" s="76"/>
      <c r="C82" s="13"/>
      <c r="D82" s="77"/>
      <c r="E82" s="77"/>
      <c r="F82" s="78"/>
    </row>
    <row r="83" spans="1:6" s="81" customFormat="1" ht="64" customHeight="1" x14ac:dyDescent="0.15">
      <c r="A83" s="75"/>
      <c r="B83" s="76"/>
      <c r="C83" s="13"/>
      <c r="D83" s="77"/>
      <c r="E83" s="77"/>
      <c r="F83" s="78"/>
    </row>
    <row r="84" spans="1:6" s="81" customFormat="1" ht="64" customHeight="1" x14ac:dyDescent="0.15">
      <c r="A84" s="75"/>
      <c r="B84" s="76"/>
      <c r="C84" s="13"/>
      <c r="D84" s="77"/>
      <c r="E84" s="77"/>
      <c r="F84" s="78"/>
    </row>
    <row r="85" spans="1:6" s="81" customFormat="1" ht="64" customHeight="1" x14ac:dyDescent="0.15">
      <c r="A85" s="75"/>
      <c r="B85" s="76"/>
      <c r="C85" s="13"/>
      <c r="D85" s="77"/>
      <c r="E85" s="77"/>
      <c r="F85" s="78"/>
    </row>
    <row r="86" spans="1:6" s="81" customFormat="1" ht="64" customHeight="1" x14ac:dyDescent="0.15">
      <c r="A86" s="75"/>
      <c r="B86" s="76"/>
      <c r="C86" s="13"/>
      <c r="D86" s="77"/>
      <c r="E86" s="77"/>
      <c r="F86" s="78"/>
    </row>
    <row r="87" spans="1:6" s="81" customFormat="1" ht="64" customHeight="1" x14ac:dyDescent="0.15">
      <c r="A87" s="75"/>
      <c r="B87" s="76"/>
      <c r="C87" s="13"/>
      <c r="D87" s="77"/>
      <c r="E87" s="77"/>
      <c r="F87" s="78"/>
    </row>
    <row r="88" spans="1:6" s="81" customFormat="1" ht="64" customHeight="1" x14ac:dyDescent="0.15">
      <c r="A88" s="75"/>
      <c r="B88" s="76"/>
      <c r="C88" s="13"/>
      <c r="D88" s="77"/>
      <c r="E88" s="77"/>
      <c r="F88" s="78"/>
    </row>
    <row r="89" spans="1:6" s="81" customFormat="1" ht="64" customHeight="1" x14ac:dyDescent="0.15">
      <c r="A89" s="75"/>
      <c r="B89" s="76"/>
      <c r="C89" s="13"/>
      <c r="D89" s="77"/>
      <c r="E89" s="77"/>
      <c r="F89" s="78"/>
    </row>
    <row r="90" spans="1:6" s="81" customFormat="1" ht="64" customHeight="1" x14ac:dyDescent="0.15">
      <c r="A90" s="75"/>
      <c r="B90" s="76"/>
      <c r="C90" s="13"/>
      <c r="D90" s="77"/>
      <c r="E90" s="77"/>
      <c r="F90" s="78"/>
    </row>
    <row r="91" spans="1:6" s="81" customFormat="1" ht="64" customHeight="1" x14ac:dyDescent="0.15">
      <c r="A91" s="75"/>
      <c r="B91" s="76"/>
      <c r="C91" s="13"/>
      <c r="D91" s="77"/>
      <c r="E91" s="77"/>
      <c r="F91" s="78"/>
    </row>
    <row r="92" spans="1:6" s="81" customFormat="1" ht="64" customHeight="1" x14ac:dyDescent="0.15">
      <c r="A92" s="75"/>
      <c r="B92" s="76"/>
      <c r="C92" s="13"/>
      <c r="D92" s="77"/>
      <c r="E92" s="77"/>
      <c r="F92" s="78"/>
    </row>
    <row r="93" spans="1:6" s="81" customFormat="1" ht="64" customHeight="1" x14ac:dyDescent="0.15">
      <c r="A93" s="75"/>
      <c r="B93" s="76"/>
      <c r="C93" s="13"/>
      <c r="D93" s="77"/>
      <c r="E93" s="77"/>
      <c r="F93" s="78"/>
    </row>
    <row r="94" spans="1:6" s="81" customFormat="1" ht="64" customHeight="1" x14ac:dyDescent="0.15">
      <c r="A94" s="75"/>
      <c r="B94" s="76"/>
      <c r="C94" s="13"/>
      <c r="D94" s="77"/>
      <c r="E94" s="77"/>
      <c r="F94" s="78"/>
    </row>
    <row r="95" spans="1:6" s="81" customFormat="1" ht="64" customHeight="1" x14ac:dyDescent="0.15">
      <c r="A95" s="75"/>
      <c r="B95" s="76"/>
      <c r="C95" s="13"/>
      <c r="D95" s="77"/>
      <c r="E95" s="77"/>
      <c r="F95" s="78"/>
    </row>
    <row r="96" spans="1:6" s="81" customFormat="1" ht="64" customHeight="1" x14ac:dyDescent="0.15">
      <c r="A96" s="75"/>
      <c r="B96" s="76"/>
      <c r="C96" s="13"/>
      <c r="D96" s="77"/>
      <c r="E96" s="77"/>
      <c r="F96" s="78"/>
    </row>
    <row r="97" spans="1:6" s="81" customFormat="1" ht="64" customHeight="1" x14ac:dyDescent="0.15">
      <c r="A97" s="75"/>
      <c r="B97" s="76"/>
      <c r="C97" s="13"/>
      <c r="D97" s="77"/>
      <c r="E97" s="77"/>
      <c r="F97" s="78"/>
    </row>
    <row r="98" spans="1:6" s="81" customFormat="1" ht="64" customHeight="1" x14ac:dyDescent="0.15">
      <c r="A98" s="75"/>
      <c r="B98" s="76"/>
      <c r="C98" s="13"/>
      <c r="D98" s="77"/>
      <c r="E98" s="77"/>
      <c r="F98" s="78"/>
    </row>
    <row r="99" spans="1:6" s="81" customFormat="1" ht="64" customHeight="1" x14ac:dyDescent="0.15">
      <c r="A99" s="75"/>
      <c r="B99" s="76"/>
      <c r="C99" s="13"/>
      <c r="D99" s="77"/>
      <c r="E99" s="77"/>
      <c r="F99" s="78"/>
    </row>
    <row r="100" spans="1:6" s="81" customFormat="1" ht="64" customHeight="1" x14ac:dyDescent="0.15">
      <c r="A100" s="75"/>
      <c r="B100" s="76"/>
      <c r="C100" s="13"/>
      <c r="D100" s="77"/>
      <c r="E100" s="77"/>
      <c r="F100" s="78"/>
    </row>
    <row r="101" spans="1:6" s="81" customFormat="1" ht="64" customHeight="1" x14ac:dyDescent="0.15">
      <c r="A101" s="75"/>
      <c r="B101" s="76"/>
      <c r="C101" s="13"/>
      <c r="D101" s="77"/>
      <c r="E101" s="77"/>
      <c r="F101" s="78"/>
    </row>
    <row r="102" spans="1:6" s="81" customFormat="1" ht="64" customHeight="1" x14ac:dyDescent="0.15">
      <c r="A102" s="75"/>
      <c r="B102" s="76"/>
      <c r="C102" s="13"/>
      <c r="D102" s="77"/>
      <c r="E102" s="77"/>
      <c r="F102" s="78"/>
    </row>
    <row r="103" spans="1:6" s="81" customFormat="1" ht="64" customHeight="1" x14ac:dyDescent="0.15">
      <c r="A103" s="75"/>
      <c r="B103" s="76"/>
      <c r="C103" s="13"/>
      <c r="D103" s="77"/>
      <c r="E103" s="77"/>
      <c r="F103" s="78"/>
    </row>
    <row r="104" spans="1:6" s="81" customFormat="1" ht="64" customHeight="1" x14ac:dyDescent="0.15">
      <c r="A104" s="75"/>
      <c r="B104" s="76"/>
      <c r="C104" s="13"/>
      <c r="D104" s="77"/>
      <c r="E104" s="77"/>
      <c r="F104" s="78"/>
    </row>
    <row r="105" spans="1:6" s="81" customFormat="1" ht="64" customHeight="1" x14ac:dyDescent="0.15">
      <c r="A105" s="75"/>
      <c r="B105" s="76"/>
      <c r="C105" s="13"/>
      <c r="D105" s="77"/>
      <c r="E105" s="77"/>
      <c r="F105" s="78"/>
    </row>
    <row r="106" spans="1:6" s="81" customFormat="1" ht="64" customHeight="1" x14ac:dyDescent="0.15">
      <c r="A106" s="75"/>
      <c r="B106" s="76"/>
      <c r="C106" s="13"/>
      <c r="D106" s="77"/>
      <c r="E106" s="77"/>
      <c r="F106" s="78"/>
    </row>
    <row r="107" spans="1:6" s="81" customFormat="1" ht="64" customHeight="1" x14ac:dyDescent="0.25">
      <c r="A107" s="75"/>
      <c r="B107" s="76"/>
      <c r="C107" s="13"/>
      <c r="D107" s="82"/>
      <c r="E107" s="82"/>
      <c r="F107" s="78"/>
    </row>
    <row r="108" spans="1:6" s="81" customFormat="1" ht="64" customHeight="1" x14ac:dyDescent="0.15">
      <c r="A108" s="75"/>
      <c r="B108" s="76"/>
      <c r="C108" s="13"/>
      <c r="D108" s="77"/>
      <c r="E108" s="77"/>
      <c r="F108" s="78"/>
    </row>
    <row r="109" spans="1:6" s="81" customFormat="1" ht="64" customHeight="1" x14ac:dyDescent="0.15">
      <c r="A109" s="75"/>
      <c r="B109" s="76"/>
      <c r="C109" s="13"/>
      <c r="D109" s="77"/>
      <c r="E109" s="77"/>
      <c r="F109" s="78"/>
    </row>
    <row r="110" spans="1:6" s="81" customFormat="1" ht="64" customHeight="1" x14ac:dyDescent="0.15">
      <c r="A110" s="75"/>
      <c r="B110" s="76"/>
      <c r="C110" s="13"/>
      <c r="D110" s="77"/>
      <c r="E110" s="77"/>
      <c r="F110" s="78"/>
    </row>
    <row r="111" spans="1:6" s="81" customFormat="1" ht="64" customHeight="1" x14ac:dyDescent="0.15">
      <c r="A111" s="75"/>
      <c r="B111" s="76"/>
      <c r="C111" s="13"/>
      <c r="D111" s="77"/>
      <c r="E111" s="77"/>
      <c r="F111" s="78"/>
    </row>
    <row r="112" spans="1:6" s="81" customFormat="1" ht="64" customHeight="1" x14ac:dyDescent="0.15">
      <c r="A112" s="75"/>
      <c r="B112" s="76"/>
      <c r="C112" s="13"/>
      <c r="D112" s="77"/>
      <c r="E112" s="77"/>
      <c r="F112" s="78"/>
    </row>
    <row r="113" spans="1:6" s="81" customFormat="1" ht="64" customHeight="1" x14ac:dyDescent="0.15">
      <c r="A113" s="75"/>
      <c r="B113" s="76"/>
      <c r="C113" s="13"/>
      <c r="D113" s="77"/>
      <c r="E113" s="77"/>
      <c r="F113" s="78"/>
    </row>
    <row r="114" spans="1:6" s="81" customFormat="1" ht="64" customHeight="1" x14ac:dyDescent="0.15">
      <c r="A114" s="75"/>
      <c r="B114" s="76"/>
      <c r="C114" s="13"/>
      <c r="D114" s="77"/>
      <c r="E114" s="77"/>
      <c r="F114" s="78"/>
    </row>
    <row r="115" spans="1:6" s="81" customFormat="1" ht="64" customHeight="1" x14ac:dyDescent="0.15">
      <c r="A115" s="75"/>
      <c r="B115" s="76"/>
      <c r="C115" s="13"/>
      <c r="D115" s="77"/>
      <c r="E115" s="77"/>
      <c r="F115" s="78"/>
    </row>
    <row r="116" spans="1:6" s="81" customFormat="1" ht="64" customHeight="1" x14ac:dyDescent="0.15">
      <c r="A116" s="75"/>
      <c r="B116" s="76"/>
      <c r="C116" s="13"/>
      <c r="D116" s="77"/>
      <c r="E116" s="77"/>
      <c r="F116" s="78"/>
    </row>
    <row r="117" spans="1:6" s="81" customFormat="1" ht="64" customHeight="1" x14ac:dyDescent="0.15">
      <c r="A117" s="75"/>
      <c r="B117" s="76"/>
      <c r="C117" s="13"/>
      <c r="D117" s="77"/>
      <c r="E117" s="77"/>
      <c r="F117" s="78"/>
    </row>
    <row r="118" spans="1:6" s="81" customFormat="1" ht="64" customHeight="1" x14ac:dyDescent="0.15">
      <c r="A118" s="75"/>
      <c r="B118" s="76"/>
      <c r="C118" s="13"/>
      <c r="D118" s="77"/>
      <c r="E118" s="77"/>
      <c r="F118" s="78"/>
    </row>
    <row r="119" spans="1:6" s="81" customFormat="1" ht="64" customHeight="1" x14ac:dyDescent="0.15">
      <c r="A119" s="75"/>
      <c r="B119" s="76"/>
      <c r="C119" s="13"/>
      <c r="D119" s="77"/>
      <c r="E119" s="77"/>
      <c r="F119" s="78"/>
    </row>
    <row r="120" spans="1:6" s="81" customFormat="1" ht="64" customHeight="1" x14ac:dyDescent="0.15">
      <c r="A120" s="75"/>
      <c r="B120" s="76"/>
      <c r="C120" s="13"/>
      <c r="D120" s="77"/>
      <c r="E120" s="77"/>
      <c r="F120" s="78"/>
    </row>
    <row r="121" spans="1:6" s="81" customFormat="1" ht="64" customHeight="1" x14ac:dyDescent="0.15">
      <c r="A121" s="75"/>
      <c r="B121" s="76"/>
      <c r="C121" s="13"/>
      <c r="D121" s="77"/>
      <c r="E121" s="77"/>
      <c r="F121" s="78"/>
    </row>
    <row r="122" spans="1:6" s="81" customFormat="1" ht="64" customHeight="1" x14ac:dyDescent="0.15">
      <c r="A122" s="75"/>
      <c r="B122" s="76"/>
      <c r="C122" s="13"/>
      <c r="D122" s="77"/>
      <c r="E122" s="77"/>
      <c r="F122" s="78"/>
    </row>
    <row r="123" spans="1:6" s="81" customFormat="1" ht="64" customHeight="1" x14ac:dyDescent="0.15">
      <c r="A123" s="75"/>
      <c r="B123" s="76"/>
      <c r="C123" s="13"/>
      <c r="D123" s="77"/>
      <c r="E123" s="77"/>
      <c r="F123" s="78"/>
    </row>
    <row r="124" spans="1:6" s="81" customFormat="1" ht="64" customHeight="1" x14ac:dyDescent="0.15">
      <c r="A124" s="75"/>
      <c r="B124" s="76"/>
      <c r="C124" s="13"/>
      <c r="D124" s="77"/>
      <c r="E124" s="77"/>
      <c r="F124" s="78"/>
    </row>
    <row r="125" spans="1:6" s="81" customFormat="1" ht="64" customHeight="1" x14ac:dyDescent="0.15">
      <c r="A125" s="75"/>
      <c r="B125" s="76"/>
      <c r="C125" s="13"/>
      <c r="D125" s="77"/>
      <c r="E125" s="77"/>
      <c r="F125" s="78"/>
    </row>
    <row r="126" spans="1:6" s="81" customFormat="1" ht="64" customHeight="1" x14ac:dyDescent="0.15">
      <c r="A126" s="75"/>
      <c r="B126" s="76"/>
      <c r="C126" s="13"/>
      <c r="D126" s="77"/>
      <c r="E126" s="77"/>
      <c r="F126" s="78"/>
    </row>
    <row r="127" spans="1:6" s="81" customFormat="1" ht="64" customHeight="1" x14ac:dyDescent="0.15">
      <c r="A127" s="75"/>
      <c r="B127" s="76"/>
      <c r="C127" s="13"/>
      <c r="D127" s="77"/>
      <c r="E127" s="77"/>
      <c r="F127" s="78"/>
    </row>
    <row r="128" spans="1:6" s="81" customFormat="1" ht="64" customHeight="1" x14ac:dyDescent="0.15">
      <c r="A128" s="75"/>
      <c r="B128" s="76"/>
      <c r="C128" s="13"/>
      <c r="D128" s="77"/>
      <c r="E128" s="77"/>
      <c r="F128" s="78"/>
    </row>
    <row r="129" spans="1:6" s="81" customFormat="1" ht="64" customHeight="1" x14ac:dyDescent="0.15">
      <c r="A129" s="75"/>
      <c r="B129" s="76"/>
      <c r="C129" s="13"/>
      <c r="D129" s="77"/>
      <c r="E129" s="77"/>
      <c r="F129" s="78"/>
    </row>
    <row r="130" spans="1:6" s="81" customFormat="1" ht="64" customHeight="1" x14ac:dyDescent="0.15">
      <c r="A130" s="75"/>
      <c r="B130" s="76"/>
      <c r="C130" s="13"/>
      <c r="D130" s="77"/>
      <c r="E130" s="77"/>
      <c r="F130" s="78"/>
    </row>
    <row r="131" spans="1:6" s="81" customFormat="1" ht="64" customHeight="1" x14ac:dyDescent="0.25">
      <c r="A131" s="75"/>
      <c r="B131" s="76"/>
      <c r="C131" s="13"/>
      <c r="D131" s="82"/>
      <c r="E131" s="82"/>
      <c r="F131" s="78"/>
    </row>
    <row r="132" spans="1:6" s="81" customFormat="1" ht="64" customHeight="1" x14ac:dyDescent="0.15">
      <c r="A132" s="75"/>
      <c r="B132" s="76"/>
      <c r="C132" s="13"/>
      <c r="D132" s="77"/>
      <c r="E132" s="77"/>
      <c r="F132" s="78"/>
    </row>
    <row r="133" spans="1:6" s="81" customFormat="1" ht="64" customHeight="1" x14ac:dyDescent="0.15">
      <c r="A133" s="75"/>
      <c r="B133" s="76"/>
      <c r="C133" s="13"/>
      <c r="D133" s="77"/>
      <c r="E133" s="77"/>
      <c r="F133" s="78"/>
    </row>
    <row r="134" spans="1:6" s="81" customFormat="1" ht="64" customHeight="1" x14ac:dyDescent="0.15">
      <c r="A134" s="75"/>
      <c r="B134" s="76"/>
      <c r="C134" s="13"/>
      <c r="D134" s="77"/>
      <c r="E134" s="77"/>
      <c r="F134" s="78"/>
    </row>
    <row r="135" spans="1:6" s="81" customFormat="1" ht="64" customHeight="1" x14ac:dyDescent="0.15">
      <c r="A135" s="75"/>
      <c r="B135" s="76"/>
      <c r="C135" s="13"/>
      <c r="D135" s="77"/>
      <c r="E135" s="77"/>
      <c r="F135" s="78"/>
    </row>
    <row r="136" spans="1:6" s="81" customFormat="1" ht="64" customHeight="1" x14ac:dyDescent="0.15">
      <c r="A136" s="75"/>
      <c r="B136" s="76"/>
      <c r="C136" s="13"/>
      <c r="D136" s="77"/>
      <c r="E136" s="77"/>
      <c r="F136" s="78"/>
    </row>
    <row r="137" spans="1:6" s="81" customFormat="1" ht="64" customHeight="1" x14ac:dyDescent="0.15">
      <c r="A137" s="75"/>
      <c r="B137" s="76"/>
      <c r="C137" s="13"/>
      <c r="D137" s="77"/>
      <c r="E137" s="77"/>
      <c r="F137" s="78"/>
    </row>
    <row r="138" spans="1:6" s="81" customFormat="1" ht="64" customHeight="1" x14ac:dyDescent="0.15">
      <c r="A138" s="75"/>
      <c r="B138" s="76"/>
      <c r="C138" s="13"/>
      <c r="D138" s="77"/>
      <c r="E138" s="77"/>
      <c r="F138" s="78"/>
    </row>
    <row r="139" spans="1:6" s="81" customFormat="1" ht="64" customHeight="1" x14ac:dyDescent="0.15">
      <c r="A139" s="75"/>
      <c r="B139" s="76"/>
      <c r="C139" s="13"/>
      <c r="D139" s="77"/>
      <c r="E139" s="77"/>
      <c r="F139" s="78"/>
    </row>
    <row r="140" spans="1:6" s="81" customFormat="1" ht="64" customHeight="1" x14ac:dyDescent="0.15">
      <c r="A140" s="75"/>
      <c r="B140" s="76"/>
      <c r="C140" s="13"/>
      <c r="D140" s="77"/>
      <c r="E140" s="77"/>
      <c r="F140" s="78"/>
    </row>
    <row r="141" spans="1:6" s="81" customFormat="1" ht="64" customHeight="1" x14ac:dyDescent="0.15">
      <c r="A141" s="75"/>
      <c r="B141" s="76"/>
      <c r="C141" s="13"/>
      <c r="D141" s="77"/>
      <c r="E141" s="77"/>
      <c r="F141" s="78"/>
    </row>
    <row r="142" spans="1:6" s="81" customFormat="1" ht="64" customHeight="1" x14ac:dyDescent="0.15">
      <c r="A142" s="75"/>
      <c r="B142" s="76"/>
      <c r="C142" s="13"/>
      <c r="D142" s="77"/>
      <c r="E142" s="77"/>
      <c r="F142" s="78"/>
    </row>
    <row r="143" spans="1:6" s="81" customFormat="1" ht="64" customHeight="1" x14ac:dyDescent="0.15">
      <c r="A143" s="75"/>
      <c r="B143" s="76"/>
      <c r="C143" s="13"/>
      <c r="D143" s="77"/>
      <c r="E143" s="77"/>
      <c r="F143" s="78"/>
    </row>
    <row r="144" spans="1:6" s="81" customFormat="1" ht="64" customHeight="1" x14ac:dyDescent="0.15">
      <c r="A144" s="75"/>
      <c r="B144" s="76"/>
      <c r="C144" s="13"/>
      <c r="D144" s="77"/>
      <c r="E144" s="77"/>
      <c r="F144" s="78"/>
    </row>
    <row r="145" spans="1:6" s="81" customFormat="1" ht="64" customHeight="1" x14ac:dyDescent="0.15">
      <c r="A145" s="75"/>
      <c r="B145" s="76"/>
      <c r="C145" s="13"/>
      <c r="D145" s="77"/>
      <c r="E145" s="77"/>
      <c r="F145" s="78"/>
    </row>
    <row r="146" spans="1:6" s="81" customFormat="1" ht="64" customHeight="1" x14ac:dyDescent="0.15">
      <c r="A146" s="75"/>
      <c r="B146" s="76"/>
      <c r="C146" s="13"/>
      <c r="D146" s="77"/>
      <c r="E146" s="77"/>
      <c r="F146" s="78"/>
    </row>
    <row r="147" spans="1:6" s="81" customFormat="1" ht="64" customHeight="1" x14ac:dyDescent="0.15">
      <c r="A147" s="75"/>
      <c r="B147" s="76"/>
      <c r="C147" s="13"/>
      <c r="D147" s="77"/>
      <c r="E147" s="77"/>
      <c r="F147" s="78"/>
    </row>
    <row r="148" spans="1:6" s="81" customFormat="1" ht="64" customHeight="1" x14ac:dyDescent="0.15">
      <c r="A148" s="75"/>
      <c r="B148" s="76"/>
      <c r="C148" s="13"/>
      <c r="D148" s="77"/>
      <c r="E148" s="77"/>
      <c r="F148" s="78"/>
    </row>
    <row r="149" spans="1:6" s="81" customFormat="1" ht="64" customHeight="1" x14ac:dyDescent="0.15">
      <c r="A149" s="75"/>
      <c r="B149" s="76"/>
      <c r="C149" s="13"/>
      <c r="D149" s="77"/>
      <c r="E149" s="77"/>
      <c r="F149" s="78"/>
    </row>
    <row r="150" spans="1:6" s="81" customFormat="1" ht="64" customHeight="1" x14ac:dyDescent="0.15">
      <c r="A150" s="75"/>
      <c r="B150" s="76"/>
      <c r="C150" s="13"/>
      <c r="D150" s="77"/>
      <c r="E150" s="77"/>
      <c r="F150" s="78"/>
    </row>
    <row r="151" spans="1:6" s="81" customFormat="1" ht="64" customHeight="1" x14ac:dyDescent="0.15">
      <c r="A151" s="75"/>
      <c r="B151" s="76"/>
      <c r="C151" s="13"/>
      <c r="D151" s="77"/>
      <c r="E151" s="77"/>
      <c r="F151" s="78"/>
    </row>
    <row r="152" spans="1:6" s="81" customFormat="1" ht="64" customHeight="1" x14ac:dyDescent="0.15">
      <c r="A152" s="75"/>
      <c r="B152" s="76"/>
      <c r="C152" s="13"/>
      <c r="D152" s="77"/>
      <c r="E152" s="77"/>
      <c r="F152" s="78"/>
    </row>
    <row r="153" spans="1:6" s="81" customFormat="1" ht="64" customHeight="1" x14ac:dyDescent="0.15">
      <c r="A153" s="75"/>
      <c r="B153" s="76"/>
      <c r="C153" s="13"/>
      <c r="D153" s="77"/>
      <c r="E153" s="77"/>
      <c r="F153" s="78"/>
    </row>
    <row r="154" spans="1:6" s="81" customFormat="1" ht="64" customHeight="1" x14ac:dyDescent="0.15">
      <c r="A154" s="75"/>
      <c r="B154" s="76"/>
      <c r="C154" s="13"/>
      <c r="D154" s="77"/>
      <c r="E154" s="77"/>
      <c r="F154" s="78"/>
    </row>
    <row r="155" spans="1:6" s="81" customFormat="1" ht="64" customHeight="1" x14ac:dyDescent="0.25">
      <c r="A155" s="75"/>
      <c r="B155" s="76"/>
      <c r="C155" s="13"/>
      <c r="D155" s="82"/>
      <c r="E155" s="82"/>
      <c r="F155" s="78"/>
    </row>
    <row r="156" spans="1:6" s="81" customFormat="1" ht="64" customHeight="1" x14ac:dyDescent="0.15">
      <c r="A156" s="75"/>
      <c r="B156" s="76"/>
      <c r="C156" s="13"/>
      <c r="D156" s="77"/>
      <c r="E156" s="77"/>
      <c r="F156" s="78"/>
    </row>
    <row r="157" spans="1:6" s="81" customFormat="1" ht="64" customHeight="1" x14ac:dyDescent="0.15">
      <c r="A157" s="75"/>
      <c r="B157" s="76"/>
      <c r="C157" s="13"/>
      <c r="D157" s="77"/>
      <c r="E157" s="77"/>
      <c r="F157" s="78"/>
    </row>
    <row r="158" spans="1:6" s="81" customFormat="1" ht="64" customHeight="1" x14ac:dyDescent="0.15">
      <c r="A158" s="75"/>
      <c r="B158" s="76"/>
      <c r="C158" s="13"/>
      <c r="D158" s="77"/>
      <c r="E158" s="77"/>
      <c r="F158" s="78"/>
    </row>
    <row r="159" spans="1:6" s="81" customFormat="1" ht="64" customHeight="1" x14ac:dyDescent="0.15">
      <c r="A159" s="75"/>
      <c r="B159" s="76"/>
      <c r="C159" s="13"/>
      <c r="D159" s="77"/>
      <c r="E159" s="77"/>
      <c r="F159" s="78"/>
    </row>
    <row r="160" spans="1:6" s="81" customFormat="1" ht="64" customHeight="1" x14ac:dyDescent="0.15">
      <c r="A160" s="75"/>
      <c r="B160" s="76"/>
      <c r="C160" s="13"/>
      <c r="D160" s="77"/>
      <c r="E160" s="77"/>
      <c r="F160" s="78"/>
    </row>
    <row r="161" spans="1:6" s="81" customFormat="1" ht="64" customHeight="1" x14ac:dyDescent="0.15">
      <c r="A161" s="75"/>
      <c r="B161" s="76"/>
      <c r="C161" s="13"/>
      <c r="D161" s="77"/>
      <c r="E161" s="77"/>
      <c r="F161" s="78"/>
    </row>
    <row r="162" spans="1:6" s="81" customFormat="1" ht="64" customHeight="1" x14ac:dyDescent="0.15">
      <c r="A162" s="75"/>
      <c r="B162" s="76"/>
      <c r="C162" s="13"/>
      <c r="D162" s="77"/>
      <c r="E162" s="77"/>
      <c r="F162" s="78"/>
    </row>
    <row r="163" spans="1:6" s="81" customFormat="1" ht="64" customHeight="1" x14ac:dyDescent="0.15">
      <c r="A163" s="75"/>
      <c r="B163" s="76"/>
      <c r="C163" s="13"/>
      <c r="D163" s="77"/>
      <c r="E163" s="77"/>
      <c r="F163" s="78"/>
    </row>
    <row r="164" spans="1:6" s="81" customFormat="1" ht="64" customHeight="1" x14ac:dyDescent="0.15">
      <c r="A164" s="75"/>
      <c r="B164" s="76"/>
      <c r="C164" s="13"/>
      <c r="D164" s="77"/>
      <c r="E164" s="77"/>
      <c r="F164" s="78"/>
    </row>
    <row r="165" spans="1:6" s="81" customFormat="1" ht="64" customHeight="1" x14ac:dyDescent="0.15">
      <c r="A165" s="75"/>
      <c r="B165" s="76"/>
      <c r="C165" s="13"/>
      <c r="D165" s="77"/>
      <c r="E165" s="77"/>
      <c r="F165" s="78"/>
    </row>
    <row r="166" spans="1:6" s="81" customFormat="1" ht="64" customHeight="1" x14ac:dyDescent="0.15">
      <c r="A166" s="75"/>
      <c r="B166" s="76"/>
      <c r="C166" s="13"/>
      <c r="D166" s="77"/>
      <c r="E166" s="77"/>
      <c r="F166" s="78"/>
    </row>
    <row r="167" spans="1:6" s="81" customFormat="1" ht="64" customHeight="1" x14ac:dyDescent="0.15">
      <c r="A167" s="75"/>
      <c r="B167" s="76"/>
      <c r="C167" s="13"/>
      <c r="D167" s="77"/>
      <c r="E167" s="77"/>
      <c r="F167" s="78"/>
    </row>
    <row r="168" spans="1:6" s="81" customFormat="1" ht="64" customHeight="1" x14ac:dyDescent="0.15">
      <c r="A168" s="75"/>
      <c r="B168" s="76"/>
      <c r="C168" s="13"/>
      <c r="D168" s="77"/>
      <c r="E168" s="77"/>
      <c r="F168" s="78"/>
    </row>
    <row r="169" spans="1:6" s="81" customFormat="1" ht="64" customHeight="1" x14ac:dyDescent="0.15">
      <c r="A169" s="75"/>
      <c r="B169" s="76"/>
      <c r="C169" s="13"/>
      <c r="D169" s="77"/>
      <c r="E169" s="77"/>
      <c r="F169" s="78"/>
    </row>
    <row r="170" spans="1:6" s="81" customFormat="1" ht="64" customHeight="1" x14ac:dyDescent="0.15">
      <c r="A170" s="75"/>
      <c r="B170" s="76"/>
      <c r="C170" s="13"/>
      <c r="D170" s="77"/>
      <c r="E170" s="77"/>
      <c r="F170" s="78"/>
    </row>
    <row r="171" spans="1:6" s="81" customFormat="1" ht="64" customHeight="1" x14ac:dyDescent="0.15">
      <c r="A171" s="75"/>
      <c r="B171" s="76"/>
      <c r="C171" s="13"/>
      <c r="D171" s="77"/>
      <c r="E171" s="77"/>
      <c r="F171" s="78"/>
    </row>
    <row r="172" spans="1:6" s="81" customFormat="1" ht="64" customHeight="1" x14ac:dyDescent="0.15">
      <c r="A172" s="75"/>
      <c r="B172" s="76"/>
      <c r="C172" s="13"/>
      <c r="D172" s="77"/>
      <c r="E172" s="77"/>
      <c r="F172" s="78"/>
    </row>
    <row r="173" spans="1:6" s="81" customFormat="1" ht="64" customHeight="1" x14ac:dyDescent="0.15">
      <c r="A173" s="75"/>
      <c r="B173" s="76"/>
      <c r="C173" s="13"/>
      <c r="D173" s="77"/>
      <c r="E173" s="77"/>
      <c r="F173" s="78"/>
    </row>
    <row r="174" spans="1:6" s="81" customFormat="1" ht="64" customHeight="1" x14ac:dyDescent="0.15">
      <c r="A174" s="75"/>
      <c r="B174" s="76"/>
      <c r="C174" s="13"/>
      <c r="D174" s="77"/>
      <c r="E174" s="77"/>
      <c r="F174" s="78"/>
    </row>
    <row r="175" spans="1:6" s="81" customFormat="1" ht="64" customHeight="1" x14ac:dyDescent="0.15">
      <c r="A175" s="75"/>
      <c r="B175" s="76"/>
      <c r="C175" s="13"/>
      <c r="D175" s="77"/>
      <c r="E175" s="77"/>
      <c r="F175" s="78"/>
    </row>
    <row r="176" spans="1:6" s="81" customFormat="1" ht="64" customHeight="1" x14ac:dyDescent="0.15">
      <c r="A176" s="75"/>
      <c r="B176" s="76"/>
      <c r="C176" s="13"/>
      <c r="D176" s="77"/>
      <c r="E176" s="77"/>
      <c r="F176" s="78"/>
    </row>
    <row r="177" spans="1:6" s="81" customFormat="1" ht="64" customHeight="1" x14ac:dyDescent="0.15">
      <c r="A177" s="75"/>
      <c r="B177" s="76"/>
      <c r="C177" s="13"/>
      <c r="D177" s="77"/>
      <c r="E177" s="77"/>
      <c r="F177" s="78"/>
    </row>
    <row r="178" spans="1:6" s="81" customFormat="1" ht="64" customHeight="1" x14ac:dyDescent="0.15">
      <c r="A178" s="75"/>
      <c r="B178" s="76"/>
      <c r="C178" s="13"/>
      <c r="D178" s="77"/>
      <c r="E178" s="77"/>
      <c r="F178" s="78"/>
    </row>
    <row r="179" spans="1:6" s="81" customFormat="1" ht="64" customHeight="1" x14ac:dyDescent="0.15">
      <c r="A179" s="75"/>
      <c r="B179" s="76"/>
      <c r="C179" s="13"/>
      <c r="D179" s="77"/>
      <c r="E179" s="77"/>
      <c r="F179" s="78"/>
    </row>
    <row r="180" spans="1:6" s="81" customFormat="1" ht="64" customHeight="1" x14ac:dyDescent="0.15">
      <c r="A180" s="75"/>
      <c r="B180" s="76"/>
      <c r="C180" s="13"/>
      <c r="D180" s="77"/>
      <c r="E180" s="77"/>
      <c r="F180" s="78"/>
    </row>
    <row r="181" spans="1:6" s="81" customFormat="1" ht="64" customHeight="1" x14ac:dyDescent="0.15">
      <c r="A181" s="75"/>
      <c r="B181" s="76"/>
      <c r="C181" s="13"/>
      <c r="D181" s="77"/>
      <c r="E181" s="77"/>
      <c r="F181" s="78"/>
    </row>
    <row r="182" spans="1:6" s="81" customFormat="1" ht="64" customHeight="1" x14ac:dyDescent="0.15">
      <c r="A182" s="75"/>
      <c r="B182" s="76"/>
      <c r="C182" s="13"/>
      <c r="D182" s="77"/>
      <c r="E182" s="77"/>
      <c r="F182" s="78"/>
    </row>
    <row r="183" spans="1:6" s="81" customFormat="1" ht="64" customHeight="1" x14ac:dyDescent="0.15">
      <c r="A183" s="75"/>
      <c r="B183" s="76"/>
      <c r="C183" s="13"/>
      <c r="D183" s="77"/>
      <c r="E183" s="77"/>
      <c r="F183" s="78"/>
    </row>
    <row r="184" spans="1:6" s="81" customFormat="1" ht="64" customHeight="1" x14ac:dyDescent="0.25">
      <c r="A184" s="75"/>
      <c r="B184" s="76"/>
      <c r="C184" s="13"/>
      <c r="D184" s="82"/>
      <c r="E184" s="82"/>
      <c r="F184" s="78"/>
    </row>
    <row r="185" spans="1:6" s="81" customFormat="1" ht="64" customHeight="1" x14ac:dyDescent="0.15">
      <c r="A185" s="75"/>
      <c r="B185" s="76"/>
      <c r="C185" s="13"/>
      <c r="D185" s="77"/>
      <c r="E185" s="77"/>
      <c r="F185" s="78"/>
    </row>
    <row r="186" spans="1:6" s="81" customFormat="1" ht="64" customHeight="1" x14ac:dyDescent="0.15">
      <c r="A186" s="75"/>
      <c r="B186" s="76"/>
      <c r="C186" s="13"/>
      <c r="D186" s="77"/>
      <c r="E186" s="77"/>
      <c r="F186" s="78"/>
    </row>
    <row r="187" spans="1:6" s="81" customFormat="1" ht="64" customHeight="1" x14ac:dyDescent="0.15">
      <c r="A187" s="75"/>
      <c r="B187" s="76"/>
      <c r="C187" s="13"/>
      <c r="D187" s="77"/>
      <c r="E187" s="77"/>
      <c r="F187" s="78"/>
    </row>
    <row r="188" spans="1:6" s="81" customFormat="1" ht="64" customHeight="1" x14ac:dyDescent="0.15">
      <c r="A188" s="75"/>
      <c r="B188" s="76"/>
      <c r="C188" s="13"/>
      <c r="D188" s="77"/>
      <c r="E188" s="77"/>
      <c r="F188" s="78"/>
    </row>
    <row r="189" spans="1:6" s="81" customFormat="1" ht="64" customHeight="1" x14ac:dyDescent="0.15">
      <c r="A189" s="75"/>
      <c r="B189" s="76"/>
      <c r="C189" s="13"/>
      <c r="D189" s="77"/>
      <c r="E189" s="77"/>
      <c r="F189" s="78"/>
    </row>
    <row r="190" spans="1:6" s="81" customFormat="1" ht="64" customHeight="1" x14ac:dyDescent="0.15">
      <c r="A190" s="75"/>
      <c r="B190" s="76"/>
      <c r="C190" s="13"/>
      <c r="D190" s="77"/>
      <c r="E190" s="77"/>
      <c r="F190" s="78"/>
    </row>
    <row r="191" spans="1:6" s="81" customFormat="1" ht="64" customHeight="1" x14ac:dyDescent="0.15">
      <c r="A191" s="75"/>
      <c r="B191" s="76"/>
      <c r="C191" s="13"/>
      <c r="D191" s="77"/>
      <c r="E191" s="77"/>
      <c r="F191" s="78"/>
    </row>
    <row r="192" spans="1:6" s="81" customFormat="1" ht="64" customHeight="1" x14ac:dyDescent="0.15">
      <c r="A192" s="75"/>
      <c r="B192" s="76"/>
      <c r="C192" s="13"/>
      <c r="D192" s="77"/>
      <c r="E192" s="77"/>
      <c r="F192" s="78"/>
    </row>
    <row r="193" spans="1:6" s="81" customFormat="1" ht="64" customHeight="1" x14ac:dyDescent="0.15">
      <c r="A193" s="75"/>
      <c r="B193" s="76"/>
      <c r="C193" s="13"/>
      <c r="D193" s="77"/>
      <c r="E193" s="77"/>
      <c r="F193" s="78"/>
    </row>
    <row r="194" spans="1:6" s="81" customFormat="1" ht="64" customHeight="1" x14ac:dyDescent="0.15">
      <c r="A194" s="75"/>
      <c r="B194" s="76"/>
      <c r="C194" s="13"/>
      <c r="D194" s="77"/>
      <c r="E194" s="77"/>
      <c r="F194" s="78"/>
    </row>
    <row r="195" spans="1:6" s="81" customFormat="1" ht="64" customHeight="1" x14ac:dyDescent="0.15">
      <c r="A195" s="75"/>
      <c r="B195" s="76"/>
      <c r="C195" s="13"/>
      <c r="D195" s="77"/>
      <c r="E195" s="77"/>
      <c r="F195" s="78"/>
    </row>
    <row r="196" spans="1:6" s="81" customFormat="1" ht="64" customHeight="1" x14ac:dyDescent="0.15">
      <c r="A196" s="75"/>
      <c r="B196" s="76"/>
      <c r="C196" s="13"/>
      <c r="D196" s="77"/>
      <c r="E196" s="77"/>
      <c r="F196" s="78"/>
    </row>
    <row r="197" spans="1:6" s="81" customFormat="1" ht="64" customHeight="1" x14ac:dyDescent="0.15">
      <c r="A197" s="75"/>
      <c r="B197" s="76"/>
      <c r="C197" s="13"/>
      <c r="D197" s="77"/>
      <c r="E197" s="77"/>
      <c r="F197" s="78"/>
    </row>
    <row r="198" spans="1:6" s="81" customFormat="1" ht="64" customHeight="1" x14ac:dyDescent="0.15">
      <c r="A198" s="75"/>
      <c r="B198" s="76"/>
      <c r="C198" s="13"/>
      <c r="D198" s="77"/>
      <c r="E198" s="77"/>
      <c r="F198" s="78"/>
    </row>
    <row r="199" spans="1:6" s="81" customFormat="1" ht="64" customHeight="1" x14ac:dyDescent="0.15">
      <c r="A199" s="75"/>
      <c r="B199" s="76"/>
      <c r="C199" s="13"/>
      <c r="D199" s="77"/>
      <c r="E199" s="77"/>
      <c r="F199" s="78"/>
    </row>
    <row r="200" spans="1:6" s="81" customFormat="1" ht="64" customHeight="1" x14ac:dyDescent="0.15">
      <c r="A200" s="75"/>
      <c r="B200" s="76"/>
      <c r="C200" s="13"/>
      <c r="D200" s="77"/>
      <c r="E200" s="77"/>
      <c r="F200" s="78"/>
    </row>
  </sheetData>
  <pageMargins left="0.25" right="0.25" top="0.5" bottom="0.5" header="0.3" footer="0.3"/>
  <pageSetup paperSize="9" scale="40" orientation="landscape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45</vt:i4>
      </vt:variant>
    </vt:vector>
  </HeadingPairs>
  <TitlesOfParts>
    <vt:vector size="90" baseType="lpstr">
      <vt:lpstr>REPORT 2</vt:lpstr>
      <vt:lpstr>REPORT</vt:lpstr>
      <vt:lpstr>RUH - Al Malaz</vt:lpstr>
      <vt:lpstr>RUH - Al Massif</vt:lpstr>
      <vt:lpstr>RUH - Al Aarid</vt:lpstr>
      <vt:lpstr>RUH - Al Sahafa</vt:lpstr>
      <vt:lpstr>RUH - Al Wadi</vt:lpstr>
      <vt:lpstr>RUH - Eshbilia</vt:lpstr>
      <vt:lpstr>RUH - Muzahmiyah</vt:lpstr>
      <vt:lpstr>RUH - Rabwa</vt:lpstr>
      <vt:lpstr>RUH - Salam</vt:lpstr>
      <vt:lpstr>RUH - Swaidi</vt:lpstr>
      <vt:lpstr>RUH - Takhasousi</vt:lpstr>
      <vt:lpstr>RUH - Al Badia</vt:lpstr>
      <vt:lpstr>RUH - Al Fayha</vt:lpstr>
      <vt:lpstr>RUH - Al Khaleej</vt:lpstr>
      <vt:lpstr>RUH - Al Kharj</vt:lpstr>
      <vt:lpstr>RUH - Al Nahda</vt:lpstr>
      <vt:lpstr>RUH - Badr</vt:lpstr>
      <vt:lpstr>RUH - Ezdehar</vt:lpstr>
      <vt:lpstr>RUH - Murooj</vt:lpstr>
      <vt:lpstr>RUH - Shubra</vt:lpstr>
      <vt:lpstr>DMM - Al Athir</vt:lpstr>
      <vt:lpstr>DMM - Al Jameyeen</vt:lpstr>
      <vt:lpstr>DMM - Hufof</vt:lpstr>
      <vt:lpstr>DMM - Khobar</vt:lpstr>
      <vt:lpstr>JED - Hamadania</vt:lpstr>
      <vt:lpstr>JED - Al Rawdah</vt:lpstr>
      <vt:lpstr>JED - Makkah</vt:lpstr>
      <vt:lpstr>JED - Obhor - Al Amwaj</vt:lpstr>
      <vt:lpstr>JED - Obhor - Al Sheraa</vt:lpstr>
      <vt:lpstr>ALQ - Al Rass</vt:lpstr>
      <vt:lpstr>ALQ - Al Rayyan</vt:lpstr>
      <vt:lpstr>ALQ - Buraidah</vt:lpstr>
      <vt:lpstr>ALQ - Unaizah</vt:lpstr>
      <vt:lpstr>MED - Shouran</vt:lpstr>
      <vt:lpstr>MED - Taiba</vt:lpstr>
      <vt:lpstr>Uhud</vt:lpstr>
      <vt:lpstr>AlUla</vt:lpstr>
      <vt:lpstr>Al Mubaraz</vt:lpstr>
      <vt:lpstr>Hafr El Batin</vt:lpstr>
      <vt:lpstr>Tabuk</vt:lpstr>
      <vt:lpstr>Najran</vt:lpstr>
      <vt:lpstr>Khamis Mushait</vt:lpstr>
      <vt:lpstr>Hail</vt:lpstr>
      <vt:lpstr>'Al Mubaraz'!Print_Area</vt:lpstr>
      <vt:lpstr>'ALQ - Al Rass'!Print_Area</vt:lpstr>
      <vt:lpstr>'ALQ - Al Rayyan'!Print_Area</vt:lpstr>
      <vt:lpstr>'ALQ - Buraidah'!Print_Area</vt:lpstr>
      <vt:lpstr>'ALQ - Unaizah'!Print_Area</vt:lpstr>
      <vt:lpstr>AlUla!Print_Area</vt:lpstr>
      <vt:lpstr>'DMM - Al Athir'!Print_Area</vt:lpstr>
      <vt:lpstr>'DMM - Al Jameyeen'!Print_Area</vt:lpstr>
      <vt:lpstr>'DMM - Hufof'!Print_Area</vt:lpstr>
      <vt:lpstr>'DMM - Khobar'!Print_Area</vt:lpstr>
      <vt:lpstr>'Hafr El Batin'!Print_Area</vt:lpstr>
      <vt:lpstr>Hail!Print_Area</vt:lpstr>
      <vt:lpstr>'JED - Al Rawdah'!Print_Area</vt:lpstr>
      <vt:lpstr>'JED - Hamadania'!Print_Area</vt:lpstr>
      <vt:lpstr>'JED - Makkah'!Print_Area</vt:lpstr>
      <vt:lpstr>'JED - Obhor - Al Amwaj'!Print_Area</vt:lpstr>
      <vt:lpstr>'JED - Obhor - Al Sheraa'!Print_Area</vt:lpstr>
      <vt:lpstr>'Khamis Mushait'!Print_Area</vt:lpstr>
      <vt:lpstr>'MED - Shouran'!Print_Area</vt:lpstr>
      <vt:lpstr>'MED - Taiba'!Print_Area</vt:lpstr>
      <vt:lpstr>Najran!Print_Area</vt:lpstr>
      <vt:lpstr>REPORT!Print_Area</vt:lpstr>
      <vt:lpstr>'REPORT 2'!Print_Area</vt:lpstr>
      <vt:lpstr>'RUH - Al Aarid'!Print_Area</vt:lpstr>
      <vt:lpstr>'RUH - Al Badia'!Print_Area</vt:lpstr>
      <vt:lpstr>'RUH - Al Fayha'!Print_Area</vt:lpstr>
      <vt:lpstr>'RUH - Al Khaleej'!Print_Area</vt:lpstr>
      <vt:lpstr>'RUH - Al Kharj'!Print_Area</vt:lpstr>
      <vt:lpstr>'RUH - Al Malaz'!Print_Area</vt:lpstr>
      <vt:lpstr>'RUH - Al Massif'!Print_Area</vt:lpstr>
      <vt:lpstr>'RUH - Al Nahda'!Print_Area</vt:lpstr>
      <vt:lpstr>'RUH - Al Wadi'!Print_Area</vt:lpstr>
      <vt:lpstr>'RUH - Badr'!Print_Area</vt:lpstr>
      <vt:lpstr>'RUH - Eshbilia'!Print_Area</vt:lpstr>
      <vt:lpstr>'RUH - Ezdehar'!Print_Area</vt:lpstr>
      <vt:lpstr>'RUH - Murooj'!Print_Area</vt:lpstr>
      <vt:lpstr>'RUH - Muzahmiyah'!Print_Area</vt:lpstr>
      <vt:lpstr>'RUH - Rabwa'!Print_Area</vt:lpstr>
      <vt:lpstr>'RUH - Salam'!Print_Area</vt:lpstr>
      <vt:lpstr>'RUH - Shubra'!Print_Area</vt:lpstr>
      <vt:lpstr>'RUH - Swaidi'!Print_Area</vt:lpstr>
      <vt:lpstr>'RUH - Takhasousi'!Print_Area</vt:lpstr>
      <vt:lpstr>Tabuk!Print_Area</vt:lpstr>
      <vt:lpstr>Uhud!Print_Area</vt:lpstr>
      <vt:lpstr>'REPORT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AZZI</dc:creator>
  <cp:lastModifiedBy>Andy Ayas</cp:lastModifiedBy>
  <cp:lastPrinted>2025-09-15T12:56:58Z</cp:lastPrinted>
  <dcterms:created xsi:type="dcterms:W3CDTF">2025-06-09T04:27:37Z</dcterms:created>
  <dcterms:modified xsi:type="dcterms:W3CDTF">2026-07-11T18:13:09Z</dcterms:modified>
</cp:coreProperties>
</file>